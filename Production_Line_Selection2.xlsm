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 userName="Lê Thái Tâm" algorithmName="SHA-512" hashValue="UqL97Ar0b8V87tNn7BGMpU2BB0VqnAZAiYg5h19TdzKooTeH0vvN8bafm83ywfI8U8aHiDmAC6S/NHLnPjq00w==" saltValue="edTlp/HLQ8wqq0ZOdcY+QQ==" spinCount="100000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tellapharm.int\qa-bd\DOCUMENT\Production\LCTBSX\DB\"/>
    </mc:Choice>
  </mc:AlternateContent>
  <bookViews>
    <workbookView xWindow="0" yWindow="0" windowWidth="28800" windowHeight="12336" tabRatio="768" firstSheet="1" activeTab="1"/>
  </bookViews>
  <sheets>
    <sheet name="Master Data" sheetId="3" state="hidden" r:id="rId1"/>
    <sheet name="Selection Equiment" sheetId="2" r:id="rId2"/>
    <sheet name="DB_Blistering" sheetId="6" r:id="rId3"/>
    <sheet name="DB_Granulation" sheetId="11" r:id="rId4"/>
    <sheet name="DB_Compression" sheetId="4" r:id="rId5"/>
    <sheet name="DB_Capsule_Filling" sheetId="5" r:id="rId6"/>
    <sheet name="DB_Coating" sheetId="8" r:id="rId7"/>
    <sheet name="DB_Strip_Parking" sheetId="10" r:id="rId8"/>
    <sheet name="DB_Sachet_Filling" sheetId="9" r:id="rId9"/>
    <sheet name="DB_Counting" sheetId="13" r:id="rId10"/>
    <sheet name="DB_Tube_Packing" sheetId="14" r:id="rId11"/>
    <sheet name="User" sheetId="12" r:id="rId12"/>
    <sheet name="Sheet1" sheetId="7" state="veryHidden" r:id="rId13"/>
  </sheets>
  <functionGroups builtInGroupCount="18"/>
  <externalReferences>
    <externalReference r:id="rId14"/>
  </externalReferences>
  <definedNames>
    <definedName name="_xlnm._FilterDatabase" localSheetId="2" hidden="1">DB_Blistering!$A$1:$P$1</definedName>
    <definedName name="_xlnm._FilterDatabase" localSheetId="5" hidden="1">DB_Capsule_Filling!$A$1:$I$5</definedName>
    <definedName name="_xlnm._FilterDatabase" localSheetId="6" hidden="1">DB_Coating!$A$1:$F$1</definedName>
    <definedName name="_xlnm._FilterDatabase" localSheetId="4" hidden="1">DB_Compression!$A$1:$H$16</definedName>
    <definedName name="_xlnm._FilterDatabase" localSheetId="3" hidden="1">DB_Granulation!$A$1:$L$1</definedName>
    <definedName name="_xlnm._FilterDatabase" localSheetId="8" hidden="1">DB_Sachet_Filling!$A$1:$G$3</definedName>
    <definedName name="_xlnm._FilterDatabase" localSheetId="7" hidden="1">DB_Strip_Parking!$A$1:$G$1</definedName>
    <definedName name="BB">'Master Data'!$Q$2:$Q$5</definedName>
    <definedName name="CDSX">'Master Data'!$O$2:$O$4</definedName>
    <definedName name="condition">'Master Data'!$L$2:$L$7</definedName>
    <definedName name="cupsuleSize">'Master Data'!$J$14:$J$19</definedName>
    <definedName name="EU">'Master Data'!$H$26:$H$27</definedName>
    <definedName name="hinhThucVien">'Master Data'!$H$20:$H$21</definedName>
    <definedName name="loaiBTP">'Master Data'!$L$14:$L$15</definedName>
    <definedName name="loaiChayCoi">'Master Data'!$H$14:$H$15</definedName>
    <definedName name="Market">'Master Data'!$B$2:$B$242</definedName>
    <definedName name="PP_PC">'Master Data'!$H$2:$H$6</definedName>
    <definedName name="_xlnm.Print_Area" localSheetId="1">'Selection Equiment'!$A$1:$N$156</definedName>
    <definedName name="PX">'Master Data'!$O$13:$O$14</definedName>
    <definedName name="YN">'Master Data'!$J$26:$J$27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7" i="2" l="1"/>
  <c r="I12" i="2" l="1"/>
  <c r="L58" i="2" l="1"/>
  <c r="L94" i="2"/>
  <c r="D69" i="2" l="1"/>
  <c r="D57" i="2"/>
  <c r="A127" i="2" l="1"/>
  <c r="L138" i="2"/>
  <c r="K138" i="2"/>
  <c r="I138" i="2"/>
  <c r="L137" i="2"/>
  <c r="K137" i="2"/>
  <c r="I137" i="2"/>
  <c r="L136" i="2"/>
  <c r="K136" i="2"/>
  <c r="I136" i="2"/>
  <c r="L135" i="2"/>
  <c r="K135" i="2"/>
  <c r="I135" i="2"/>
  <c r="L134" i="2"/>
  <c r="K134" i="2"/>
  <c r="I134" i="2"/>
  <c r="L133" i="2"/>
  <c r="K133" i="2"/>
  <c r="I133" i="2"/>
  <c r="L132" i="2"/>
  <c r="K132" i="2"/>
  <c r="I132" i="2"/>
  <c r="L131" i="2"/>
  <c r="K131" i="2"/>
  <c r="I131" i="2"/>
  <c r="L130" i="2"/>
  <c r="K130" i="2"/>
  <c r="I130" i="2"/>
  <c r="K129" i="2"/>
  <c r="I129" i="2"/>
  <c r="B129" i="2"/>
  <c r="A103" i="2"/>
  <c r="A115" i="2"/>
  <c r="L126" i="2"/>
  <c r="K126" i="2"/>
  <c r="I126" i="2"/>
  <c r="L125" i="2"/>
  <c r="K125" i="2"/>
  <c r="I125" i="2"/>
  <c r="L124" i="2"/>
  <c r="K124" i="2"/>
  <c r="I124" i="2"/>
  <c r="L123" i="2"/>
  <c r="K123" i="2"/>
  <c r="I123" i="2"/>
  <c r="L122" i="2"/>
  <c r="K122" i="2"/>
  <c r="I122" i="2"/>
  <c r="L121" i="2"/>
  <c r="K121" i="2"/>
  <c r="I121" i="2"/>
  <c r="L120" i="2"/>
  <c r="K120" i="2"/>
  <c r="I120" i="2"/>
  <c r="L119" i="2"/>
  <c r="K119" i="2"/>
  <c r="I119" i="2"/>
  <c r="L118" i="2"/>
  <c r="K118" i="2"/>
  <c r="I118" i="2"/>
  <c r="K117" i="2"/>
  <c r="I117" i="2"/>
  <c r="B117" i="2"/>
  <c r="L117" i="2" l="1"/>
  <c r="L129" i="2"/>
  <c r="I57" i="2"/>
  <c r="K57" i="2"/>
  <c r="I58" i="2"/>
  <c r="K58" i="2"/>
  <c r="I59" i="2"/>
  <c r="K59" i="2"/>
  <c r="L59" i="2"/>
  <c r="I60" i="2"/>
  <c r="K60" i="2"/>
  <c r="L60" i="2"/>
  <c r="I61" i="2"/>
  <c r="K61" i="2"/>
  <c r="L61" i="2"/>
  <c r="I62" i="2"/>
  <c r="K62" i="2"/>
  <c r="L62" i="2"/>
  <c r="I63" i="2"/>
  <c r="K63" i="2"/>
  <c r="L63" i="2"/>
  <c r="I64" i="2"/>
  <c r="K64" i="2"/>
  <c r="L64" i="2"/>
  <c r="I65" i="2"/>
  <c r="K65" i="2"/>
  <c r="L65" i="2"/>
  <c r="I66" i="2"/>
  <c r="K66" i="2"/>
  <c r="L66" i="2"/>
  <c r="L57" i="2" l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F14" i="2"/>
  <c r="A91" i="2"/>
  <c r="A79" i="2"/>
  <c r="A67" i="2"/>
  <c r="A55" i="2"/>
  <c r="A31" i="2"/>
  <c r="A10" i="2"/>
  <c r="K12" i="2" l="1"/>
  <c r="L12" i="2" l="1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05" i="2"/>
  <c r="K100" i="2"/>
  <c r="L100" i="2"/>
  <c r="K101" i="2"/>
  <c r="L101" i="2"/>
  <c r="K102" i="2"/>
  <c r="L102" i="2"/>
  <c r="K94" i="2"/>
  <c r="K95" i="2"/>
  <c r="L95" i="2"/>
  <c r="K96" i="2"/>
  <c r="L96" i="2"/>
  <c r="K97" i="2"/>
  <c r="L97" i="2"/>
  <c r="K98" i="2"/>
  <c r="L98" i="2"/>
  <c r="K99" i="2"/>
  <c r="L99" i="2"/>
  <c r="K93" i="2"/>
  <c r="K89" i="2"/>
  <c r="L89" i="2"/>
  <c r="K90" i="2"/>
  <c r="L90" i="2" s="1"/>
  <c r="K82" i="2"/>
  <c r="L82" i="2" s="1"/>
  <c r="K83" i="2"/>
  <c r="L83" i="2" s="1"/>
  <c r="K84" i="2"/>
  <c r="L84" i="2" s="1"/>
  <c r="K85" i="2"/>
  <c r="L85" i="2" s="1"/>
  <c r="K86" i="2"/>
  <c r="L86" i="2" s="1"/>
  <c r="K87" i="2"/>
  <c r="L87" i="2" s="1"/>
  <c r="K88" i="2"/>
  <c r="L88" i="2" s="1"/>
  <c r="K81" i="2"/>
  <c r="K70" i="2"/>
  <c r="K71" i="2"/>
  <c r="L71" i="2" s="1"/>
  <c r="K72" i="2"/>
  <c r="L72" i="2" s="1"/>
  <c r="K73" i="2"/>
  <c r="L73" i="2"/>
  <c r="K74" i="2"/>
  <c r="L74" i="2"/>
  <c r="K75" i="2"/>
  <c r="L75" i="2"/>
  <c r="K76" i="2"/>
  <c r="L76" i="2"/>
  <c r="K77" i="2"/>
  <c r="L77" i="2"/>
  <c r="K78" i="2"/>
  <c r="L78" i="2"/>
  <c r="K69" i="2"/>
  <c r="I70" i="2"/>
  <c r="I71" i="2"/>
  <c r="I72" i="2"/>
  <c r="I73" i="2"/>
  <c r="I74" i="2"/>
  <c r="I75" i="2"/>
  <c r="I76" i="2"/>
  <c r="I77" i="2"/>
  <c r="I78" i="2"/>
  <c r="I82" i="2"/>
  <c r="I83" i="2"/>
  <c r="I84" i="2"/>
  <c r="I85" i="2"/>
  <c r="I86" i="2"/>
  <c r="I87" i="2"/>
  <c r="I88" i="2"/>
  <c r="I89" i="2"/>
  <c r="I90" i="2"/>
  <c r="I94" i="2"/>
  <c r="I95" i="2"/>
  <c r="I96" i="2"/>
  <c r="I97" i="2"/>
  <c r="I98" i="2"/>
  <c r="I99" i="2"/>
  <c r="I100" i="2"/>
  <c r="I101" i="2"/>
  <c r="I102" i="2"/>
  <c r="I106" i="2"/>
  <c r="I108" i="2"/>
  <c r="I109" i="2"/>
  <c r="I110" i="2"/>
  <c r="I111" i="2"/>
  <c r="I112" i="2"/>
  <c r="I113" i="2"/>
  <c r="I114" i="2"/>
  <c r="I105" i="2"/>
  <c r="I93" i="2"/>
  <c r="I81" i="2"/>
  <c r="I69" i="2"/>
  <c r="I34" i="2"/>
  <c r="I35" i="2"/>
  <c r="I36" i="2"/>
  <c r="I37" i="2"/>
  <c r="I38" i="2"/>
  <c r="I39" i="2"/>
  <c r="I40" i="2"/>
  <c r="I41" i="2"/>
  <c r="I42" i="2"/>
  <c r="I43" i="2"/>
  <c r="L43" i="2" s="1"/>
  <c r="I44" i="2"/>
  <c r="I45" i="2"/>
  <c r="I46" i="2"/>
  <c r="I47" i="2"/>
  <c r="I48" i="2"/>
  <c r="I49" i="2"/>
  <c r="I50" i="2"/>
  <c r="I51" i="2"/>
  <c r="I52" i="2"/>
  <c r="I53" i="2"/>
  <c r="I54" i="2"/>
  <c r="I33" i="2"/>
  <c r="K34" i="2"/>
  <c r="K35" i="2"/>
  <c r="L35" i="2" s="1"/>
  <c r="K36" i="2"/>
  <c r="L36" i="2" s="1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K44" i="2"/>
  <c r="L44" i="2" s="1"/>
  <c r="K45" i="2"/>
  <c r="K46" i="2"/>
  <c r="L46" i="2"/>
  <c r="K47" i="2"/>
  <c r="L47" i="2"/>
  <c r="K48" i="2"/>
  <c r="L48" i="2"/>
  <c r="K49" i="2"/>
  <c r="L49" i="2"/>
  <c r="K50" i="2"/>
  <c r="L50" i="2"/>
  <c r="K51" i="2"/>
  <c r="L51" i="2"/>
  <c r="K52" i="2"/>
  <c r="L52" i="2"/>
  <c r="K53" i="2"/>
  <c r="L53" i="2"/>
  <c r="K54" i="2"/>
  <c r="K33" i="2"/>
  <c r="L15" i="2"/>
  <c r="L16" i="2"/>
  <c r="L17" i="2"/>
  <c r="L18" i="2"/>
  <c r="L19" i="2"/>
  <c r="L20" i="2"/>
  <c r="L21" i="2"/>
  <c r="K13" i="2"/>
  <c r="K14" i="2"/>
  <c r="K15" i="2"/>
  <c r="K16" i="2"/>
  <c r="K17" i="2"/>
  <c r="K18" i="2"/>
  <c r="K19" i="2"/>
  <c r="K20" i="2"/>
  <c r="K21" i="2"/>
  <c r="K22" i="2"/>
  <c r="K23" i="2"/>
  <c r="I13" i="2"/>
  <c r="I14" i="2"/>
  <c r="I15" i="2"/>
  <c r="I16" i="2"/>
  <c r="I17" i="2"/>
  <c r="I18" i="2"/>
  <c r="I19" i="2"/>
  <c r="I20" i="2"/>
  <c r="I21" i="2"/>
  <c r="I22" i="2"/>
  <c r="I23" i="2"/>
  <c r="I24" i="2"/>
  <c r="J24" i="2" s="1"/>
  <c r="K24" i="2" s="1"/>
  <c r="I25" i="2"/>
  <c r="J25" i="2" s="1"/>
  <c r="K25" i="2" s="1"/>
  <c r="I26" i="2"/>
  <c r="J26" i="2" s="1"/>
  <c r="K26" i="2" s="1"/>
  <c r="I27" i="2"/>
  <c r="J27" i="2" s="1"/>
  <c r="K27" i="2" s="1"/>
  <c r="I28" i="2"/>
  <c r="J28" i="2" s="1"/>
  <c r="K28" i="2" s="1"/>
  <c r="I29" i="2"/>
  <c r="J29" i="2" s="1"/>
  <c r="K29" i="2" s="1"/>
  <c r="I30" i="2"/>
  <c r="J30" i="2" s="1"/>
  <c r="K30" i="2" s="1"/>
  <c r="L34" i="2" l="1"/>
  <c r="L14" i="2"/>
  <c r="L13" i="2"/>
  <c r="L70" i="2"/>
  <c r="L69" i="2"/>
  <c r="L93" i="2"/>
  <c r="L26" i="2"/>
  <c r="L29" i="2"/>
  <c r="L27" i="2"/>
  <c r="L25" i="2"/>
  <c r="L23" i="2"/>
  <c r="L30" i="2"/>
  <c r="L22" i="2"/>
  <c r="L45" i="2"/>
  <c r="L24" i="2"/>
  <c r="L28" i="2"/>
  <c r="L105" i="2"/>
  <c r="L81" i="2"/>
  <c r="L54" i="2"/>
  <c r="L33" i="2"/>
  <c r="B105" i="2"/>
  <c r="B93" i="2"/>
  <c r="D81" i="2"/>
  <c r="B69" i="2"/>
  <c r="D33" i="2"/>
  <c r="D12" i="2"/>
  <c r="B57" i="2" l="1"/>
  <c r="B33" i="2"/>
  <c r="B12" i="2"/>
  <c r="A5" i="2"/>
</calcChain>
</file>

<file path=xl/sharedStrings.xml><?xml version="1.0" encoding="utf-8"?>
<sst xmlns="http://schemas.openxmlformats.org/spreadsheetml/2006/main" count="2054" uniqueCount="713">
  <si>
    <t>Pha Chế</t>
  </si>
  <si>
    <t>STT</t>
  </si>
  <si>
    <t>Sấy tầng sôi tạo hạt</t>
  </si>
  <si>
    <t>Trộn ướt</t>
  </si>
  <si>
    <t>Cán ép</t>
  </si>
  <si>
    <t>Trộn dập thẳng</t>
  </si>
  <si>
    <t>Trộn hoàn tất</t>
  </si>
  <si>
    <t>Phương Pháp Pha Chế</t>
  </si>
  <si>
    <t>Điều Kiện Sản Xuất</t>
  </si>
  <si>
    <t xml:space="preserve">AFGHANISTAN </t>
  </si>
  <si>
    <t xml:space="preserve">AF </t>
  </si>
  <si>
    <t xml:space="preserve">ÅLAND ISLANDS </t>
  </si>
  <si>
    <t xml:space="preserve">AX </t>
  </si>
  <si>
    <t xml:space="preserve">ALBANIA </t>
  </si>
  <si>
    <t xml:space="preserve">AL </t>
  </si>
  <si>
    <t xml:space="preserve">ALGERIA </t>
  </si>
  <si>
    <t xml:space="preserve">DZ </t>
  </si>
  <si>
    <t xml:space="preserve">AMERICAN SAMOA </t>
  </si>
  <si>
    <t xml:space="preserve">AS </t>
  </si>
  <si>
    <t xml:space="preserve">ANDORRA </t>
  </si>
  <si>
    <t xml:space="preserve">AD </t>
  </si>
  <si>
    <t xml:space="preserve">ANGOLA </t>
  </si>
  <si>
    <t xml:space="preserve">AO </t>
  </si>
  <si>
    <t xml:space="preserve">ANGUILLA </t>
  </si>
  <si>
    <t xml:space="preserve">AI </t>
  </si>
  <si>
    <t xml:space="preserve">ANTARCTICA </t>
  </si>
  <si>
    <t xml:space="preserve">AQ </t>
  </si>
  <si>
    <t xml:space="preserve">ANTIGUA AND BARBUDA </t>
  </si>
  <si>
    <t xml:space="preserve">AG </t>
  </si>
  <si>
    <t xml:space="preserve">ARGENTINA </t>
  </si>
  <si>
    <t xml:space="preserve">AR </t>
  </si>
  <si>
    <t xml:space="preserve">ARMENIA </t>
  </si>
  <si>
    <t xml:space="preserve">AM </t>
  </si>
  <si>
    <t xml:space="preserve">ARUBA </t>
  </si>
  <si>
    <t xml:space="preserve">AW </t>
  </si>
  <si>
    <t xml:space="preserve">AUSTRALIA </t>
  </si>
  <si>
    <t xml:space="preserve">AU </t>
  </si>
  <si>
    <t xml:space="preserve">AUSTRIA </t>
  </si>
  <si>
    <t xml:space="preserve">AT </t>
  </si>
  <si>
    <t xml:space="preserve">AZERBAIJAN </t>
  </si>
  <si>
    <t xml:space="preserve">AZ </t>
  </si>
  <si>
    <t xml:space="preserve">BAHAMAS </t>
  </si>
  <si>
    <t xml:space="preserve">BS </t>
  </si>
  <si>
    <t xml:space="preserve">BAHRAIN </t>
  </si>
  <si>
    <t xml:space="preserve">BH </t>
  </si>
  <si>
    <t xml:space="preserve">BANGLADESH </t>
  </si>
  <si>
    <t xml:space="preserve">BD </t>
  </si>
  <si>
    <t xml:space="preserve">BARBADOS </t>
  </si>
  <si>
    <t xml:space="preserve">BB </t>
  </si>
  <si>
    <t xml:space="preserve">BELARUS </t>
  </si>
  <si>
    <t xml:space="preserve">BY </t>
  </si>
  <si>
    <t xml:space="preserve">BELGIUM </t>
  </si>
  <si>
    <t xml:space="preserve">BE </t>
  </si>
  <si>
    <t xml:space="preserve">BELIZE </t>
  </si>
  <si>
    <t xml:space="preserve">BZ </t>
  </si>
  <si>
    <t xml:space="preserve">BENIN </t>
  </si>
  <si>
    <t xml:space="preserve">BJ </t>
  </si>
  <si>
    <t xml:space="preserve">BERMUDA </t>
  </si>
  <si>
    <t xml:space="preserve">BM </t>
  </si>
  <si>
    <t xml:space="preserve">BHUTAN </t>
  </si>
  <si>
    <t xml:space="preserve">BT </t>
  </si>
  <si>
    <t xml:space="preserve">BOLIVIA </t>
  </si>
  <si>
    <t xml:space="preserve">BO </t>
  </si>
  <si>
    <t xml:space="preserve">BOSNIA AND HERZEGOVINA </t>
  </si>
  <si>
    <t xml:space="preserve">BA </t>
  </si>
  <si>
    <t xml:space="preserve">BOTSWANA </t>
  </si>
  <si>
    <t xml:space="preserve">BW </t>
  </si>
  <si>
    <t xml:space="preserve">BOUVET ISLAND </t>
  </si>
  <si>
    <t xml:space="preserve">BV </t>
  </si>
  <si>
    <t xml:space="preserve">BRAZIL </t>
  </si>
  <si>
    <t xml:space="preserve">BR </t>
  </si>
  <si>
    <t xml:space="preserve">BRITISH INDIAN OCEAN TERRITORY </t>
  </si>
  <si>
    <t xml:space="preserve">IO </t>
  </si>
  <si>
    <t xml:space="preserve">BRUNEI DARUSSALAM </t>
  </si>
  <si>
    <t xml:space="preserve">BN </t>
  </si>
  <si>
    <t xml:space="preserve">BULGARIA </t>
  </si>
  <si>
    <t xml:space="preserve">BG </t>
  </si>
  <si>
    <t xml:space="preserve">BURKINA FASO </t>
  </si>
  <si>
    <t xml:space="preserve">BF </t>
  </si>
  <si>
    <t xml:space="preserve">BURUNDI </t>
  </si>
  <si>
    <t xml:space="preserve">BI </t>
  </si>
  <si>
    <t xml:space="preserve">CAMBODIA </t>
  </si>
  <si>
    <t xml:space="preserve">KH </t>
  </si>
  <si>
    <t xml:space="preserve">CAMEROON </t>
  </si>
  <si>
    <t xml:space="preserve">CM </t>
  </si>
  <si>
    <t xml:space="preserve">CANADA </t>
  </si>
  <si>
    <t xml:space="preserve">CA </t>
  </si>
  <si>
    <t xml:space="preserve">CAPE VERDE </t>
  </si>
  <si>
    <t xml:space="preserve">CV </t>
  </si>
  <si>
    <t xml:space="preserve">CAYMAN ISLANDS </t>
  </si>
  <si>
    <t xml:space="preserve">KY </t>
  </si>
  <si>
    <t xml:space="preserve">CENTRAL AFRICAN REPUBLIC </t>
  </si>
  <si>
    <t xml:space="preserve">CF </t>
  </si>
  <si>
    <t xml:space="preserve">CHAD </t>
  </si>
  <si>
    <t xml:space="preserve">TD </t>
  </si>
  <si>
    <t xml:space="preserve">CHILE </t>
  </si>
  <si>
    <t xml:space="preserve">CL </t>
  </si>
  <si>
    <t xml:space="preserve">CHINA </t>
  </si>
  <si>
    <t xml:space="preserve">CN </t>
  </si>
  <si>
    <t xml:space="preserve">CHRISTMAS ISLAND </t>
  </si>
  <si>
    <t xml:space="preserve">CX </t>
  </si>
  <si>
    <t xml:space="preserve">COCOS (KEELING) ISLANDS </t>
  </si>
  <si>
    <t xml:space="preserve">CC </t>
  </si>
  <si>
    <t xml:space="preserve">COLOMBIA </t>
  </si>
  <si>
    <t xml:space="preserve">CO </t>
  </si>
  <si>
    <t xml:space="preserve">COMOROS </t>
  </si>
  <si>
    <t xml:space="preserve">KM </t>
  </si>
  <si>
    <t xml:space="preserve">CONGO </t>
  </si>
  <si>
    <t xml:space="preserve">CG </t>
  </si>
  <si>
    <t xml:space="preserve">CONGO, THE DEMOCRATIC REPUBLIC OF THE </t>
  </si>
  <si>
    <t xml:space="preserve">CD </t>
  </si>
  <si>
    <t xml:space="preserve">COOK ISLANDS </t>
  </si>
  <si>
    <t xml:space="preserve">CK </t>
  </si>
  <si>
    <t xml:space="preserve">COSTA RICA </t>
  </si>
  <si>
    <t xml:space="preserve">CR </t>
  </si>
  <si>
    <t xml:space="preserve">CÔTE D'IVOIRE </t>
  </si>
  <si>
    <t xml:space="preserve">CI </t>
  </si>
  <si>
    <t xml:space="preserve">CROATIA </t>
  </si>
  <si>
    <t xml:space="preserve">HR </t>
  </si>
  <si>
    <t xml:space="preserve">CUBA </t>
  </si>
  <si>
    <t xml:space="preserve">CU </t>
  </si>
  <si>
    <t xml:space="preserve">CYPRUS </t>
  </si>
  <si>
    <t xml:space="preserve">CY </t>
  </si>
  <si>
    <t xml:space="preserve">CZECH REPUBLIC </t>
  </si>
  <si>
    <t xml:space="preserve">CZ </t>
  </si>
  <si>
    <t xml:space="preserve">DENMARK </t>
  </si>
  <si>
    <t xml:space="preserve">DK </t>
  </si>
  <si>
    <t xml:space="preserve">DJIBOUTI </t>
  </si>
  <si>
    <t xml:space="preserve">DJ </t>
  </si>
  <si>
    <t xml:space="preserve">DOMINICA </t>
  </si>
  <si>
    <t xml:space="preserve">DM </t>
  </si>
  <si>
    <t xml:space="preserve">DOMINICAN REPUBLIC </t>
  </si>
  <si>
    <t xml:space="preserve">DO </t>
  </si>
  <si>
    <t xml:space="preserve">ECUADOR </t>
  </si>
  <si>
    <t xml:space="preserve">EC </t>
  </si>
  <si>
    <t xml:space="preserve">EGYPT </t>
  </si>
  <si>
    <t xml:space="preserve">EG </t>
  </si>
  <si>
    <t xml:space="preserve">EL SALVADOR </t>
  </si>
  <si>
    <t xml:space="preserve">SV </t>
  </si>
  <si>
    <t xml:space="preserve">EQUATORIAL GUINEA </t>
  </si>
  <si>
    <t xml:space="preserve">GQ </t>
  </si>
  <si>
    <t xml:space="preserve">ERITREA </t>
  </si>
  <si>
    <t xml:space="preserve">ER </t>
  </si>
  <si>
    <t xml:space="preserve">ESTONIA </t>
  </si>
  <si>
    <t xml:space="preserve">EE </t>
  </si>
  <si>
    <t xml:space="preserve">EɔHIOPIA </t>
  </si>
  <si>
    <t xml:space="preserve">ET </t>
  </si>
  <si>
    <t xml:space="preserve">FALKLAND ISLANDS (MALVINAS) </t>
  </si>
  <si>
    <t xml:space="preserve">FK </t>
  </si>
  <si>
    <t xml:space="preserve">FAROE ISLANDS </t>
  </si>
  <si>
    <t xml:space="preserve">FO </t>
  </si>
  <si>
    <t xml:space="preserve">FIJI </t>
  </si>
  <si>
    <t xml:space="preserve">FJ </t>
  </si>
  <si>
    <t xml:space="preserve">FINLAND </t>
  </si>
  <si>
    <t xml:space="preserve">FI </t>
  </si>
  <si>
    <t xml:space="preserve">FRANCE </t>
  </si>
  <si>
    <t xml:space="preserve">FR </t>
  </si>
  <si>
    <t xml:space="preserve">FRENCH GUIANA </t>
  </si>
  <si>
    <t xml:space="preserve">GF </t>
  </si>
  <si>
    <t xml:space="preserve">FRENCH POLYNESIA </t>
  </si>
  <si>
    <t xml:space="preserve">PF </t>
  </si>
  <si>
    <t xml:space="preserve">FRENCH SOUTHERN TERRITORIES </t>
  </si>
  <si>
    <t xml:space="preserve">TF </t>
  </si>
  <si>
    <t xml:space="preserve">GABON </t>
  </si>
  <si>
    <t xml:space="preserve">GA </t>
  </si>
  <si>
    <t xml:space="preserve">GAMBIA </t>
  </si>
  <si>
    <t xml:space="preserve">GM </t>
  </si>
  <si>
    <t xml:space="preserve">GEORGIA </t>
  </si>
  <si>
    <t xml:space="preserve">GE </t>
  </si>
  <si>
    <t xml:space="preserve">GERMANY </t>
  </si>
  <si>
    <t xml:space="preserve">DE </t>
  </si>
  <si>
    <t xml:space="preserve">GHANA </t>
  </si>
  <si>
    <t xml:space="preserve">GH </t>
  </si>
  <si>
    <t xml:space="preserve">GIBRALTAR </t>
  </si>
  <si>
    <t xml:space="preserve">GI </t>
  </si>
  <si>
    <t xml:space="preserve">GREECE </t>
  </si>
  <si>
    <t xml:space="preserve">GR </t>
  </si>
  <si>
    <t xml:space="preserve">GREENLAND </t>
  </si>
  <si>
    <t xml:space="preserve">GL </t>
  </si>
  <si>
    <t xml:space="preserve">GRENADA </t>
  </si>
  <si>
    <t xml:space="preserve">GD </t>
  </si>
  <si>
    <t xml:space="preserve">GUADELOUPE </t>
  </si>
  <si>
    <t xml:space="preserve">GP </t>
  </si>
  <si>
    <t xml:space="preserve">GUAM </t>
  </si>
  <si>
    <t xml:space="preserve">GU </t>
  </si>
  <si>
    <t xml:space="preserve">GUATEMALA </t>
  </si>
  <si>
    <t xml:space="preserve">GT </t>
  </si>
  <si>
    <t xml:space="preserve">GUINEA </t>
  </si>
  <si>
    <t xml:space="preserve">GN </t>
  </si>
  <si>
    <t xml:space="preserve">GUINEA-BISSAU </t>
  </si>
  <si>
    <t xml:space="preserve">GW </t>
  </si>
  <si>
    <t xml:space="preserve">GUYANA </t>
  </si>
  <si>
    <t xml:space="preserve">GY </t>
  </si>
  <si>
    <t xml:space="preserve">HAITI </t>
  </si>
  <si>
    <t xml:space="preserve">HT </t>
  </si>
  <si>
    <t xml:space="preserve">HEARD ISLAND AND MCDONALD ISLANDS </t>
  </si>
  <si>
    <t xml:space="preserve">HM </t>
  </si>
  <si>
    <t xml:space="preserve">HOLY SEE (VATICAN CITY STATE) </t>
  </si>
  <si>
    <t xml:space="preserve">VA </t>
  </si>
  <si>
    <t xml:space="preserve">HONDURAS </t>
  </si>
  <si>
    <t xml:space="preserve">HN </t>
  </si>
  <si>
    <t xml:space="preserve">HONG KONG </t>
  </si>
  <si>
    <t xml:space="preserve">HK </t>
  </si>
  <si>
    <t xml:space="preserve">HUNGARY </t>
  </si>
  <si>
    <t xml:space="preserve">HU </t>
  </si>
  <si>
    <t xml:space="preserve">ICELAND </t>
  </si>
  <si>
    <t xml:space="preserve">IS </t>
  </si>
  <si>
    <t xml:space="preserve">INDIA </t>
  </si>
  <si>
    <t xml:space="preserve">IN </t>
  </si>
  <si>
    <t xml:space="preserve">INDONESIA </t>
  </si>
  <si>
    <t xml:space="preserve">ID </t>
  </si>
  <si>
    <t xml:space="preserve">IRAN, ISLAMIC REPUBLIC OF </t>
  </si>
  <si>
    <t xml:space="preserve">IR </t>
  </si>
  <si>
    <t xml:space="preserve">IRAQ </t>
  </si>
  <si>
    <t xml:space="preserve">IQ </t>
  </si>
  <si>
    <t xml:space="preserve">IRELAND </t>
  </si>
  <si>
    <t xml:space="preserve">IE </t>
  </si>
  <si>
    <t xml:space="preserve">ISRAEL </t>
  </si>
  <si>
    <t xml:space="preserve">IL </t>
  </si>
  <si>
    <t xml:space="preserve">ITALY </t>
  </si>
  <si>
    <t xml:space="preserve">IT </t>
  </si>
  <si>
    <t xml:space="preserve">JAMAICA </t>
  </si>
  <si>
    <t xml:space="preserve">JM </t>
  </si>
  <si>
    <t xml:space="preserve">JAPAN </t>
  </si>
  <si>
    <t xml:space="preserve">JP </t>
  </si>
  <si>
    <t xml:space="preserve">JORDAN </t>
  </si>
  <si>
    <t xml:space="preserve">JO </t>
  </si>
  <si>
    <t xml:space="preserve">KAZAKHSTAN </t>
  </si>
  <si>
    <t xml:space="preserve">KZ </t>
  </si>
  <si>
    <t xml:space="preserve">KENYA </t>
  </si>
  <si>
    <t xml:space="preserve">KE </t>
  </si>
  <si>
    <t xml:space="preserve">KIRIBATI </t>
  </si>
  <si>
    <t xml:space="preserve">KI </t>
  </si>
  <si>
    <t xml:space="preserve">KOREA, DEMOCRATIC PEOPLE'S REPUBLIC OF </t>
  </si>
  <si>
    <t xml:space="preserve">KP </t>
  </si>
  <si>
    <t xml:space="preserve">KOREA, REPUBLIC OF </t>
  </si>
  <si>
    <t xml:space="preserve">KR </t>
  </si>
  <si>
    <t xml:space="preserve">KUWAIT </t>
  </si>
  <si>
    <t xml:space="preserve">KW </t>
  </si>
  <si>
    <t xml:space="preserve">KYRGYZSTAN </t>
  </si>
  <si>
    <t xml:space="preserve">KG </t>
  </si>
  <si>
    <t xml:space="preserve">LAO PEOPLE'S DEMOCRATIC REPUBLIC </t>
  </si>
  <si>
    <t xml:space="preserve">LA </t>
  </si>
  <si>
    <t xml:space="preserve">LATVIA </t>
  </si>
  <si>
    <t xml:space="preserve">LV </t>
  </si>
  <si>
    <t xml:space="preserve">LEBANON </t>
  </si>
  <si>
    <t xml:space="preserve">LB </t>
  </si>
  <si>
    <t xml:space="preserve">LESOTHO </t>
  </si>
  <si>
    <t xml:space="preserve">LS </t>
  </si>
  <si>
    <t xml:space="preserve">LIBERIA </t>
  </si>
  <si>
    <t xml:space="preserve">LR </t>
  </si>
  <si>
    <t xml:space="preserve">LIBYAN ARAB JAMAHIRIYA </t>
  </si>
  <si>
    <t xml:space="preserve">LY </t>
  </si>
  <si>
    <t xml:space="preserve">LIECHTENSTEIN </t>
  </si>
  <si>
    <t xml:space="preserve">LI </t>
  </si>
  <si>
    <t xml:space="preserve">LITHUANIA </t>
  </si>
  <si>
    <t xml:space="preserve">LT </t>
  </si>
  <si>
    <t xml:space="preserve">LUXEMBOURG </t>
  </si>
  <si>
    <t xml:space="preserve">LU </t>
  </si>
  <si>
    <t xml:space="preserve">MACAO </t>
  </si>
  <si>
    <t xml:space="preserve">MO </t>
  </si>
  <si>
    <t xml:space="preserve">MACEDONIA, THE FORMER YUGOSLAV REPUBLIC OF </t>
  </si>
  <si>
    <t xml:space="preserve">MK </t>
  </si>
  <si>
    <t xml:space="preserve">MADAGASCAR </t>
  </si>
  <si>
    <t xml:space="preserve">MG </t>
  </si>
  <si>
    <t xml:space="preserve">MALAWI </t>
  </si>
  <si>
    <t xml:space="preserve">MW </t>
  </si>
  <si>
    <t xml:space="preserve">MALAYSIA </t>
  </si>
  <si>
    <t xml:space="preserve">MY </t>
  </si>
  <si>
    <t xml:space="preserve">MALDIVES </t>
  </si>
  <si>
    <t xml:space="preserve">MV </t>
  </si>
  <si>
    <t xml:space="preserve">MALI </t>
  </si>
  <si>
    <t xml:space="preserve">ML </t>
  </si>
  <si>
    <t xml:space="preserve">MALTA </t>
  </si>
  <si>
    <t xml:space="preserve">MT </t>
  </si>
  <si>
    <t xml:space="preserve">MARSHALL ISLANDS </t>
  </si>
  <si>
    <t xml:space="preserve">MH </t>
  </si>
  <si>
    <t xml:space="preserve">MARTINIQUE </t>
  </si>
  <si>
    <t xml:space="preserve">MQ </t>
  </si>
  <si>
    <t xml:space="preserve">MAURITANIA </t>
  </si>
  <si>
    <t xml:space="preserve">MR </t>
  </si>
  <si>
    <t xml:space="preserve">MAURITIUS </t>
  </si>
  <si>
    <t xml:space="preserve">MU </t>
  </si>
  <si>
    <t xml:space="preserve">MAYOTTE </t>
  </si>
  <si>
    <t xml:space="preserve">YT </t>
  </si>
  <si>
    <t xml:space="preserve">MEXICO </t>
  </si>
  <si>
    <t xml:space="preserve">MX </t>
  </si>
  <si>
    <t xml:space="preserve">MICRONESIA, FEDERATED STATES OF </t>
  </si>
  <si>
    <t xml:space="preserve">FM </t>
  </si>
  <si>
    <t xml:space="preserve">MOLDOVA, REPUBLIC OF </t>
  </si>
  <si>
    <t xml:space="preserve">MD </t>
  </si>
  <si>
    <t xml:space="preserve">MONACO </t>
  </si>
  <si>
    <t xml:space="preserve">MC </t>
  </si>
  <si>
    <t xml:space="preserve">MONGOLIA </t>
  </si>
  <si>
    <t xml:space="preserve">MN </t>
  </si>
  <si>
    <t xml:space="preserve">MONTSERRAT </t>
  </si>
  <si>
    <t xml:space="preserve">MS </t>
  </si>
  <si>
    <t xml:space="preserve">MOROCCO </t>
  </si>
  <si>
    <t xml:space="preserve">MA </t>
  </si>
  <si>
    <t xml:space="preserve">MOZAMBIQUE </t>
  </si>
  <si>
    <t xml:space="preserve">MZ </t>
  </si>
  <si>
    <t xml:space="preserve">MYANMAR </t>
  </si>
  <si>
    <t xml:space="preserve">MM </t>
  </si>
  <si>
    <t xml:space="preserve">NAMIBIA </t>
  </si>
  <si>
    <t xml:space="preserve">NA </t>
  </si>
  <si>
    <t xml:space="preserve">NAURU </t>
  </si>
  <si>
    <t xml:space="preserve">NR </t>
  </si>
  <si>
    <t xml:space="preserve">NEPAL </t>
  </si>
  <si>
    <t xml:space="preserve">NP </t>
  </si>
  <si>
    <t xml:space="preserve">NETHERLANDS </t>
  </si>
  <si>
    <t xml:space="preserve">NL </t>
  </si>
  <si>
    <t xml:space="preserve">NETHERLANDS ANTILLES </t>
  </si>
  <si>
    <t xml:space="preserve">AN </t>
  </si>
  <si>
    <t xml:space="preserve">NEW CALEDONIA </t>
  </si>
  <si>
    <t xml:space="preserve">NC </t>
  </si>
  <si>
    <t xml:space="preserve">NEW ZEALAND </t>
  </si>
  <si>
    <t xml:space="preserve">NZ </t>
  </si>
  <si>
    <t xml:space="preserve">NICARAGUA </t>
  </si>
  <si>
    <t xml:space="preserve">NI </t>
  </si>
  <si>
    <t xml:space="preserve">NIGER </t>
  </si>
  <si>
    <t xml:space="preserve">NE </t>
  </si>
  <si>
    <t xml:space="preserve">NIGERIA </t>
  </si>
  <si>
    <t xml:space="preserve">NG </t>
  </si>
  <si>
    <t xml:space="preserve">NIUE </t>
  </si>
  <si>
    <t xml:space="preserve">NU </t>
  </si>
  <si>
    <t xml:space="preserve">NORFOLK ISLAND </t>
  </si>
  <si>
    <t xml:space="preserve">NF </t>
  </si>
  <si>
    <t xml:space="preserve">NORTHERN MARIANA ISLANDS </t>
  </si>
  <si>
    <t xml:space="preserve">MP </t>
  </si>
  <si>
    <t xml:space="preserve">NORWAY </t>
  </si>
  <si>
    <t xml:space="preserve">NO </t>
  </si>
  <si>
    <t xml:space="preserve">OMAN </t>
  </si>
  <si>
    <t xml:space="preserve">OM </t>
  </si>
  <si>
    <t xml:space="preserve">PAKISTAN </t>
  </si>
  <si>
    <t xml:space="preserve">PK </t>
  </si>
  <si>
    <t xml:space="preserve">PALAU </t>
  </si>
  <si>
    <t xml:space="preserve">PW </t>
  </si>
  <si>
    <t xml:space="preserve">PALESTINIAN TERRITORY, OCCUPIED </t>
  </si>
  <si>
    <t xml:space="preserve">PS </t>
  </si>
  <si>
    <t xml:space="preserve">PANAMA </t>
  </si>
  <si>
    <t xml:space="preserve">PA </t>
  </si>
  <si>
    <t xml:space="preserve">PAPUA NEW GUINEA </t>
  </si>
  <si>
    <t xml:space="preserve">PG </t>
  </si>
  <si>
    <t xml:space="preserve">PARAGUAY </t>
  </si>
  <si>
    <t xml:space="preserve">PY </t>
  </si>
  <si>
    <t xml:space="preserve">PERU </t>
  </si>
  <si>
    <t xml:space="preserve">PE </t>
  </si>
  <si>
    <t xml:space="preserve">PHILIPPINES </t>
  </si>
  <si>
    <t xml:space="preserve">PH </t>
  </si>
  <si>
    <t xml:space="preserve">PITCAIRN </t>
  </si>
  <si>
    <t xml:space="preserve">PN </t>
  </si>
  <si>
    <t xml:space="preserve">POLAND </t>
  </si>
  <si>
    <t xml:space="preserve">PL </t>
  </si>
  <si>
    <t xml:space="preserve">PORTUGAL </t>
  </si>
  <si>
    <t xml:space="preserve">PT </t>
  </si>
  <si>
    <t xml:space="preserve">PUERTO RICO </t>
  </si>
  <si>
    <t xml:space="preserve">PR </t>
  </si>
  <si>
    <t xml:space="preserve">QATAR </t>
  </si>
  <si>
    <t xml:space="preserve">QA </t>
  </si>
  <si>
    <t xml:space="preserve">RÉUNION </t>
  </si>
  <si>
    <t xml:space="preserve">RE </t>
  </si>
  <si>
    <t xml:space="preserve">ROMANIA </t>
  </si>
  <si>
    <t xml:space="preserve">RO </t>
  </si>
  <si>
    <t xml:space="preserve">RUSSIAN FEDERATION </t>
  </si>
  <si>
    <t xml:space="preserve">RU </t>
  </si>
  <si>
    <t xml:space="preserve">RWANDA </t>
  </si>
  <si>
    <t xml:space="preserve">RW </t>
  </si>
  <si>
    <t xml:space="preserve">SAINT HELENA </t>
  </si>
  <si>
    <t xml:space="preserve">SH </t>
  </si>
  <si>
    <t xml:space="preserve">SAINT KITTS AND NEVIS </t>
  </si>
  <si>
    <t xml:space="preserve">KN </t>
  </si>
  <si>
    <t xml:space="preserve">SAINT LUCIA </t>
  </si>
  <si>
    <t xml:space="preserve">LC </t>
  </si>
  <si>
    <t xml:space="preserve">SAINT PIERRE AND MIQUELON </t>
  </si>
  <si>
    <t xml:space="preserve">PM </t>
  </si>
  <si>
    <t xml:space="preserve">SAINT VINCENT AND THE GRENADINES </t>
  </si>
  <si>
    <t xml:space="preserve">VC </t>
  </si>
  <si>
    <t xml:space="preserve">SAMOA </t>
  </si>
  <si>
    <t xml:space="preserve">WS </t>
  </si>
  <si>
    <t xml:space="preserve">SAN MARINO </t>
  </si>
  <si>
    <t xml:space="preserve">SM </t>
  </si>
  <si>
    <t xml:space="preserve">SAO TOME AND PRINCIPE </t>
  </si>
  <si>
    <t xml:space="preserve">ST </t>
  </si>
  <si>
    <t xml:space="preserve">SAUDI ARABIA </t>
  </si>
  <si>
    <t xml:space="preserve">SA </t>
  </si>
  <si>
    <t xml:space="preserve">SENEGAL </t>
  </si>
  <si>
    <t xml:space="preserve">SN </t>
  </si>
  <si>
    <t>SERBIA</t>
  </si>
  <si>
    <t>RS</t>
  </si>
  <si>
    <t xml:space="preserve">SEYCHELLES </t>
  </si>
  <si>
    <t xml:space="preserve">SC </t>
  </si>
  <si>
    <t xml:space="preserve">SIERRA LEONE </t>
  </si>
  <si>
    <t xml:space="preserve">SL </t>
  </si>
  <si>
    <t xml:space="preserve">SINGAPORE </t>
  </si>
  <si>
    <t xml:space="preserve">SG </t>
  </si>
  <si>
    <t xml:space="preserve">SLOVAKIA </t>
  </si>
  <si>
    <t xml:space="preserve">SK </t>
  </si>
  <si>
    <t xml:space="preserve">SLOVENIA </t>
  </si>
  <si>
    <t xml:space="preserve">SI </t>
  </si>
  <si>
    <t xml:space="preserve">SOLOMON ISLANDS </t>
  </si>
  <si>
    <t xml:space="preserve">SB </t>
  </si>
  <si>
    <t xml:space="preserve">SOMALIA </t>
  </si>
  <si>
    <t xml:space="preserve">SO </t>
  </si>
  <si>
    <t xml:space="preserve">SOUTH AFRICA </t>
  </si>
  <si>
    <t xml:space="preserve">ZA </t>
  </si>
  <si>
    <t xml:space="preserve">SOUTH GEORGIA AND THE SOUTH SANDWICH ISLANDS </t>
  </si>
  <si>
    <t xml:space="preserve">GS </t>
  </si>
  <si>
    <t xml:space="preserve">SPAIN </t>
  </si>
  <si>
    <t xml:space="preserve">ES </t>
  </si>
  <si>
    <t xml:space="preserve">SRI LANKA </t>
  </si>
  <si>
    <t xml:space="preserve">LK </t>
  </si>
  <si>
    <t xml:space="preserve">SUDAN </t>
  </si>
  <si>
    <t xml:space="preserve">SD </t>
  </si>
  <si>
    <t xml:space="preserve">SURINAME </t>
  </si>
  <si>
    <t xml:space="preserve">SR </t>
  </si>
  <si>
    <t xml:space="preserve">SVALBARD AND JAN MAYEN </t>
  </si>
  <si>
    <t xml:space="preserve">SJ </t>
  </si>
  <si>
    <t xml:space="preserve">SWAZILAND </t>
  </si>
  <si>
    <t xml:space="preserve">SZ </t>
  </si>
  <si>
    <t xml:space="preserve">SWEDEN </t>
  </si>
  <si>
    <t xml:space="preserve">SE </t>
  </si>
  <si>
    <t xml:space="preserve">SWITZERLAND </t>
  </si>
  <si>
    <t xml:space="preserve">CH </t>
  </si>
  <si>
    <t xml:space="preserve">SYRIAN ARAB REPUBLIC </t>
  </si>
  <si>
    <t xml:space="preserve">SY </t>
  </si>
  <si>
    <t xml:space="preserve">TAIWAN, PROVINCE OF CHINA </t>
  </si>
  <si>
    <t xml:space="preserve">TW </t>
  </si>
  <si>
    <t xml:space="preserve">TAJIKISTAN </t>
  </si>
  <si>
    <t xml:space="preserve">TJ </t>
  </si>
  <si>
    <t xml:space="preserve">TANZANIA, UNITED REPUBLIC OF </t>
  </si>
  <si>
    <t xml:space="preserve">TZ </t>
  </si>
  <si>
    <t xml:space="preserve">THAILAND </t>
  </si>
  <si>
    <t xml:space="preserve">TH </t>
  </si>
  <si>
    <t xml:space="preserve">TIMOR-LESTE </t>
  </si>
  <si>
    <t xml:space="preserve">TL </t>
  </si>
  <si>
    <t xml:space="preserve">TOGO </t>
  </si>
  <si>
    <t xml:space="preserve">TG </t>
  </si>
  <si>
    <t xml:space="preserve">TOKELAU </t>
  </si>
  <si>
    <t xml:space="preserve">TK </t>
  </si>
  <si>
    <t xml:space="preserve">TONGA </t>
  </si>
  <si>
    <t xml:space="preserve">TO </t>
  </si>
  <si>
    <t xml:space="preserve">TRINIDAD AND TOBAGO </t>
  </si>
  <si>
    <t xml:space="preserve">TT </t>
  </si>
  <si>
    <t xml:space="preserve">TUNISIA </t>
  </si>
  <si>
    <t xml:space="preserve">TN </t>
  </si>
  <si>
    <t xml:space="preserve">TURKEY </t>
  </si>
  <si>
    <t xml:space="preserve">TR </t>
  </si>
  <si>
    <t xml:space="preserve">TURKMENISTAN </t>
  </si>
  <si>
    <t xml:space="preserve">TM </t>
  </si>
  <si>
    <t xml:space="preserve">TURKS AND CAICOS ISLANDS </t>
  </si>
  <si>
    <t xml:space="preserve">TC </t>
  </si>
  <si>
    <t xml:space="preserve">TUVALU </t>
  </si>
  <si>
    <t xml:space="preserve">TV </t>
  </si>
  <si>
    <t xml:space="preserve">UGANDA </t>
  </si>
  <si>
    <t xml:space="preserve">UG </t>
  </si>
  <si>
    <t xml:space="preserve">UKRAINE </t>
  </si>
  <si>
    <t xml:space="preserve">UA </t>
  </si>
  <si>
    <t xml:space="preserve">UNITED ARAB EMIRATES </t>
  </si>
  <si>
    <t xml:space="preserve">AE </t>
  </si>
  <si>
    <t xml:space="preserve">UNITED KINGDOM </t>
  </si>
  <si>
    <t xml:space="preserve">GB </t>
  </si>
  <si>
    <t xml:space="preserve">UNITED STATES </t>
  </si>
  <si>
    <t xml:space="preserve">US </t>
  </si>
  <si>
    <t xml:space="preserve">UNITED STATES MINOR OUTLYING ISLANDS </t>
  </si>
  <si>
    <t xml:space="preserve">UM </t>
  </si>
  <si>
    <t xml:space="preserve">URUGUAY </t>
  </si>
  <si>
    <t xml:space="preserve">UY </t>
  </si>
  <si>
    <t xml:space="preserve">UZBEKISTAN </t>
  </si>
  <si>
    <t xml:space="preserve">UZ </t>
  </si>
  <si>
    <t xml:space="preserve">VANUATU </t>
  </si>
  <si>
    <t xml:space="preserve">VU </t>
  </si>
  <si>
    <t xml:space="preserve">VENEZUELA </t>
  </si>
  <si>
    <t xml:space="preserve">VE </t>
  </si>
  <si>
    <t xml:space="preserve">VIET NAM </t>
  </si>
  <si>
    <t xml:space="preserve">VN </t>
  </si>
  <si>
    <t xml:space="preserve">VIRGIN ISLANDS, BRITISH </t>
  </si>
  <si>
    <t xml:space="preserve">VG </t>
  </si>
  <si>
    <t xml:space="preserve">VIRGIN ISLANDS, U.S. </t>
  </si>
  <si>
    <t xml:space="preserve">VI </t>
  </si>
  <si>
    <t xml:space="preserve">WALLIS AND FUTUNA </t>
  </si>
  <si>
    <t xml:space="preserve">WF </t>
  </si>
  <si>
    <t xml:space="preserve">WESTERN SAHARA </t>
  </si>
  <si>
    <t xml:space="preserve">EH </t>
  </si>
  <si>
    <t xml:space="preserve">YEMEN </t>
  </si>
  <si>
    <t xml:space="preserve">YE </t>
  </si>
  <si>
    <t xml:space="preserve">ZAMBIA </t>
  </si>
  <si>
    <t xml:space="preserve">ZM </t>
  </si>
  <si>
    <t xml:space="preserve">ZIMBABWE </t>
  </si>
  <si>
    <t xml:space="preserve">ZW </t>
  </si>
  <si>
    <t>Tên Quốc gia/ Vùng lãnh thổ</t>
  </si>
  <si>
    <t>Tên viết tắt</t>
  </si>
  <si>
    <t>Công Đoạn Sản Xuất</t>
  </si>
  <si>
    <t>Công Đoạn Đóng Gói</t>
  </si>
  <si>
    <t>Dập Viên</t>
  </si>
  <si>
    <t>Vô Nang</t>
  </si>
  <si>
    <t>Ép Vĩ</t>
  </si>
  <si>
    <t>Đóng Tuýp</t>
  </si>
  <si>
    <t>Ép VĨ Xé</t>
  </si>
  <si>
    <t>Đóng Chai</t>
  </si>
  <si>
    <t>Hình thức viên</t>
  </si>
  <si>
    <t>Viên 2 lớp</t>
  </si>
  <si>
    <t>Viên 1 lớp</t>
  </si>
  <si>
    <t>Chày cố</t>
  </si>
  <si>
    <t>B</t>
  </si>
  <si>
    <t>D</t>
  </si>
  <si>
    <t>Khuôn Nang</t>
  </si>
  <si>
    <t>00</t>
  </si>
  <si>
    <t>0</t>
  </si>
  <si>
    <t>1</t>
  </si>
  <si>
    <t>2</t>
  </si>
  <si>
    <t>3</t>
  </si>
  <si>
    <t>4</t>
  </si>
  <si>
    <t>Loại BTP</t>
  </si>
  <si>
    <t>Cốm</t>
  </si>
  <si>
    <t>Pellet</t>
  </si>
  <si>
    <t xml:space="preserve">Thị Trường </t>
  </si>
  <si>
    <t>EU</t>
  </si>
  <si>
    <t>Chung</t>
  </si>
  <si>
    <t>YN</t>
  </si>
  <si>
    <t>Có</t>
  </si>
  <si>
    <t>Không</t>
  </si>
  <si>
    <t>Hình Thức Vĩ</t>
  </si>
  <si>
    <t>Alu/Alu</t>
  </si>
  <si>
    <t>PVC/Alu</t>
  </si>
  <si>
    <t>Phân Xưởng Viên 1</t>
  </si>
  <si>
    <t>Tên Thiết BỊ</t>
  </si>
  <si>
    <t>Tên Thiết Bị</t>
  </si>
  <si>
    <t>Khuôn Nang Số</t>
  </si>
  <si>
    <t>Chiều Rộng Vĩ Max</t>
  </si>
  <si>
    <t>Chiều Rộng Vĩ Min</t>
  </si>
  <si>
    <t>Chiều Dài Vĩ Max</t>
  </si>
  <si>
    <t>Chiều Dài Vĩ Min</t>
  </si>
  <si>
    <t>Có Đị Vị Không</t>
  </si>
  <si>
    <t>Loại Chày</t>
  </si>
  <si>
    <t xml:space="preserve">pc </t>
  </si>
  <si>
    <t>Cở lô</t>
  </si>
  <si>
    <t>DK sx</t>
  </si>
  <si>
    <t>pp cha chế</t>
  </si>
  <si>
    <t>HL max</t>
  </si>
  <si>
    <t>DV</t>
  </si>
  <si>
    <t>nấu hồ</t>
  </si>
  <si>
    <t>chày</t>
  </si>
  <si>
    <t>sui</t>
  </si>
  <si>
    <t>dksx</t>
  </si>
  <si>
    <t>số lớp viên</t>
  </si>
  <si>
    <t>VN</t>
  </si>
  <si>
    <t>loai BTP</t>
  </si>
  <si>
    <t>khuôn số</t>
  </si>
  <si>
    <t>cở lô</t>
  </si>
  <si>
    <t>BP</t>
  </si>
  <si>
    <t>EV</t>
  </si>
  <si>
    <t>EG</t>
  </si>
  <si>
    <t>Cỡ lô</t>
  </si>
  <si>
    <t xml:space="preserve">định vị </t>
  </si>
  <si>
    <t>độ sâu tạo hình</t>
  </si>
  <si>
    <t>Kthước vỉ</t>
  </si>
  <si>
    <t>Hình thức vĩ</t>
  </si>
  <si>
    <t>Vỉ xé</t>
  </si>
  <si>
    <r>
      <t xml:space="preserve">≤ 25 </t>
    </r>
    <r>
      <rPr>
        <vertAlign val="superscript"/>
        <sz val="9"/>
        <color theme="1"/>
        <rFont val="Arimo"/>
        <family val="2"/>
      </rPr>
      <t>o</t>
    </r>
    <r>
      <rPr>
        <sz val="9"/>
        <color theme="1"/>
        <rFont val="Arimo"/>
        <family val="2"/>
      </rPr>
      <t>C;  ≤ 50% RH</t>
    </r>
  </si>
  <si>
    <r>
      <t xml:space="preserve">≤ 25 </t>
    </r>
    <r>
      <rPr>
        <vertAlign val="superscript"/>
        <sz val="9"/>
        <color theme="1"/>
        <rFont val="Arimo"/>
        <family val="2"/>
      </rPr>
      <t>o</t>
    </r>
    <r>
      <rPr>
        <sz val="9"/>
        <color theme="1"/>
        <rFont val="Arimo"/>
        <family val="2"/>
      </rPr>
      <t>C;  ≤ 30% RH</t>
    </r>
  </si>
  <si>
    <r>
      <t xml:space="preserve">≤ 25 </t>
    </r>
    <r>
      <rPr>
        <vertAlign val="superscript"/>
        <sz val="9"/>
        <color theme="1"/>
        <rFont val="Arimo"/>
        <family val="2"/>
      </rPr>
      <t>o</t>
    </r>
    <r>
      <rPr>
        <sz val="9"/>
        <color theme="1"/>
        <rFont val="Arimo"/>
        <family val="2"/>
      </rPr>
      <t>C;  ≤ 40% RH</t>
    </r>
  </si>
  <si>
    <r>
      <t xml:space="preserve">≤ 20 </t>
    </r>
    <r>
      <rPr>
        <vertAlign val="superscript"/>
        <sz val="9"/>
        <color theme="1"/>
        <rFont val="Arimo"/>
        <family val="2"/>
      </rPr>
      <t>o</t>
    </r>
    <r>
      <rPr>
        <sz val="9"/>
        <color theme="1"/>
        <rFont val="Arimo"/>
        <family val="2"/>
      </rPr>
      <t>C;  ≤ 30% RH</t>
    </r>
  </si>
  <si>
    <r>
      <t xml:space="preserve">≤ 20 </t>
    </r>
    <r>
      <rPr>
        <vertAlign val="superscript"/>
        <sz val="9"/>
        <color theme="1"/>
        <rFont val="Arimo"/>
        <family val="2"/>
      </rPr>
      <t>o</t>
    </r>
    <r>
      <rPr>
        <sz val="9"/>
        <color theme="1"/>
        <rFont val="Arimo"/>
        <family val="2"/>
      </rPr>
      <t>C;  ≤ 20% RH</t>
    </r>
  </si>
  <si>
    <t>Ghi Chú</t>
  </si>
  <si>
    <t>Nấu Hồ</t>
  </si>
  <si>
    <t>Viên Sủi</t>
  </si>
  <si>
    <t>Số Lớp Viên</t>
  </si>
  <si>
    <t>Bước kéo Min</t>
  </si>
  <si>
    <t>Bước kéo Max</t>
  </si>
  <si>
    <t>Bồn THT</t>
  </si>
  <si>
    <t>Phân Xưởng Viên 2</t>
  </si>
  <si>
    <t>Cỡ Lô Tối Thiểu (Kg)</t>
  </si>
  <si>
    <t>Cỡ Lô Tối Đa (Kg)</t>
  </si>
  <si>
    <t>Thể Tích Bin Tối Đa (L)</t>
  </si>
  <si>
    <r>
      <t xml:space="preserve">≤ 25 </t>
    </r>
    <r>
      <rPr>
        <vertAlign val="superscript"/>
        <sz val="9"/>
        <color theme="1"/>
        <rFont val="Arimo"/>
        <family val="2"/>
      </rPr>
      <t>o</t>
    </r>
    <r>
      <rPr>
        <sz val="9"/>
        <color theme="1"/>
        <rFont val="Arimo"/>
        <family val="2"/>
      </rPr>
      <t>C;  ≤ 60% RH</t>
    </r>
  </si>
  <si>
    <t>≤ 25 oC;  ≤ 60% RH</t>
  </si>
  <si>
    <t>Cỡ  Lô Tối Thiểu (Kg)</t>
  </si>
  <si>
    <t>Cỡ Lô Tối Đa 
(Kg)</t>
  </si>
  <si>
    <t>Độ Sâu Tạo Hình Max</t>
  </si>
  <si>
    <t>Cỡ Lô Tối Thiểu (Viên)</t>
  </si>
  <si>
    <t>Cỡ Lô Tối Đa (Viên)</t>
  </si>
  <si>
    <t>Tên sản phẩm:</t>
  </si>
  <si>
    <t>Loại triển khai:</t>
  </si>
  <si>
    <t>Lần đầu</t>
  </si>
  <si>
    <t>Thay đổi</t>
  </si>
  <si>
    <t>Thị trường:</t>
  </si>
  <si>
    <t>Phân xưởng:</t>
  </si>
  <si>
    <t>Công Đọan Sản Xuất:</t>
  </si>
  <si>
    <t xml:space="preserve">Dập Viên </t>
  </si>
  <si>
    <t>Bao Phim</t>
  </si>
  <si>
    <t>Công Đọan Đóng Gói:</t>
  </si>
  <si>
    <t>Ép Vỉ</t>
  </si>
  <si>
    <t>Ép Vỉ Xé</t>
  </si>
  <si>
    <t>Ép Gói</t>
  </si>
  <si>
    <t>Tiêu Chuẩn Lựa Chọn</t>
  </si>
  <si>
    <t>Thiết bị phù hợp</t>
  </si>
  <si>
    <t>Cỡ Lô (Kg)</t>
  </si>
  <si>
    <t>-</t>
  </si>
  <si>
    <t>NA</t>
  </si>
  <si>
    <t>Nấu hồ</t>
  </si>
  <si>
    <t>Tỉ trọng CTH (kg/L)</t>
  </si>
  <si>
    <t>Thể tích CTH (L)</t>
  </si>
  <si>
    <t>Chày Cối</t>
  </si>
  <si>
    <t>Loai Bán Thành Phẩm</t>
  </si>
  <si>
    <t>Cỡ Lô (Viên)</t>
  </si>
  <si>
    <t>Khuôn nang Số</t>
  </si>
  <si>
    <t>Hình Thức Vỉ</t>
  </si>
  <si>
    <t>Độ Sâu TH Tối Đa (mm)</t>
  </si>
  <si>
    <t>Chiều Rộng Vĩ (mm)</t>
  </si>
  <si>
    <t>Bước Kéo (mm)</t>
  </si>
  <si>
    <t>Chiều Dài Vĩ (mm)</t>
  </si>
  <si>
    <t>Định Vị</t>
  </si>
  <si>
    <t>Ngày:</t>
  </si>
  <si>
    <t>Thiết Bị Tối Ưu</t>
  </si>
  <si>
    <t>Cỡ Lô (Gói)</t>
  </si>
  <si>
    <t>Lựa Chọn
 (Lý do nếu có)</t>
  </si>
  <si>
    <t>Chấp Nhận</t>
  </si>
  <si>
    <t>Không Chấp Nhận</t>
  </si>
  <si>
    <t>S3</t>
  </si>
  <si>
    <t>S4</t>
  </si>
  <si>
    <t>S7 + S8</t>
  </si>
  <si>
    <t>S10+S11</t>
  </si>
  <si>
    <t>S16</t>
  </si>
  <si>
    <t>S90</t>
  </si>
  <si>
    <t>Số lượng sản phẩm</t>
  </si>
  <si>
    <t>% Loading</t>
  </si>
  <si>
    <t>F1 x F2</t>
  </si>
  <si>
    <t xml:space="preserve">Số lượng sản phẩm </t>
  </si>
  <si>
    <t>Điểm đánh giá (F1)</t>
  </si>
  <si>
    <t xml:space="preserve">Loading (%) </t>
  </si>
  <si>
    <t>Điểm đánh giá (F2)</t>
  </si>
  <si>
    <t>Decision Score</t>
  </si>
  <si>
    <t>Điền lựa chọn khác và lý do.</t>
  </si>
  <si>
    <t>CÔNG CỤ EXCEL THIẾT BỊ ĐƯỢC LỰA CHỌN CHO SẢN PHẨM MỚI</t>
  </si>
  <si>
    <t xml:space="preserve"> NA</t>
  </si>
  <si>
    <t>≤ 25 oC;  ≤ 50% RH</t>
  </si>
  <si>
    <t>Hoàn Thành</t>
  </si>
  <si>
    <t>Cập Nhật</t>
  </si>
  <si>
    <t>ID</t>
  </si>
  <si>
    <t>Ý Kiến Của PTCT/CGCN (nếu có)</t>
  </si>
  <si>
    <t>PTCT/CGCN:</t>
  </si>
  <si>
    <t xml:space="preserve"> Phân Xưởng Sản Xuất:</t>
  </si>
  <si>
    <t>Mã Khuôn</t>
  </si>
  <si>
    <t>Khuôn Mẫu</t>
  </si>
  <si>
    <t>≤ 25 oC;  ≤ 30% RH</t>
  </si>
  <si>
    <t>≤ 25 oC;  ≤ 40% RH</t>
  </si>
  <si>
    <t>≤ 20 oC;  ≤ 20% RH</t>
  </si>
  <si>
    <t>Cánh nhỏ: 20 - 210 kg</t>
  </si>
  <si>
    <t>Cánh lớn: 210 - 380 kg</t>
  </si>
  <si>
    <t>Loại cánh nếu sử dụng SFC-170FH-S30</t>
  </si>
  <si>
    <t>Máy dập viên EP-700</t>
  </si>
  <si>
    <t>Máy dập viên Kilian 19 chày</t>
  </si>
  <si>
    <t>Máy dập viên Kilian 30 chày</t>
  </si>
  <si>
    <t>Máy dập viên Kilian 33 chày</t>
  </si>
  <si>
    <t>Máy dập viên Kilian 37 chày</t>
  </si>
  <si>
    <t>Máy dập viên Kilian 44 chày</t>
  </si>
  <si>
    <t>Máy dập viên Kilian 51 chày</t>
  </si>
  <si>
    <t>Máy dập viên Kilian 54 chày</t>
  </si>
  <si>
    <t>Máy dập viên Kilian 63 chày</t>
  </si>
  <si>
    <t>Máy bao phim Sejong 1</t>
  </si>
  <si>
    <t>Máy bao phim Sejong 2</t>
  </si>
  <si>
    <t>Máy bao phim Sejong 3</t>
  </si>
  <si>
    <t>Máy bao phim Sejong 4</t>
  </si>
  <si>
    <t>Máy bao phim Sejong 5</t>
  </si>
  <si>
    <t>Máy đóng nang IMA ZIBO</t>
  </si>
  <si>
    <t>Máy đóng nang MG2</t>
  </si>
  <si>
    <t>≤ 20 oC;  ≤ 30% RH</t>
  </si>
  <si>
    <t>Cỡ Lô  Tối Thiếu (viên)</t>
  </si>
  <si>
    <t>Cỡ Lô Tối Đa (viên)</t>
  </si>
  <si>
    <t>Cỡ Lô Tối Thiểu (Gói)</t>
  </si>
  <si>
    <t>Cở Lô Tối Đa (Gói)</t>
  </si>
  <si>
    <t>Máy đong chai   Dự Trù Khuôn mới</t>
  </si>
  <si>
    <t>Máy Đóng Tuýp</t>
  </si>
  <si>
    <t>Máy Đóng Tuýp   Dự Trù Khuôn Mới</t>
  </si>
  <si>
    <t>Ban Giám Đốc:</t>
  </si>
  <si>
    <t>\\stellapharm.int\qa-bd\DOCUMENT\production\LCTBSX\DB\</t>
  </si>
  <si>
    <t>Máy ép vỉ xé KWAN DAH</t>
  </si>
  <si>
    <t>Máy ép vỉ xé ROMACO</t>
  </si>
  <si>
    <t>Máy ép gói Mespack</t>
  </si>
  <si>
    <t>Máy ép gói OMAG CP/8</t>
  </si>
  <si>
    <t>Máy đóng chai Marchesini Compact-12</t>
  </si>
  <si>
    <t>07N03</t>
  </si>
  <si>
    <t>07N02</t>
  </si>
  <si>
    <t>07N01</t>
  </si>
  <si>
    <t>Line pha chế Anish AGL800</t>
  </si>
  <si>
    <t>AOB-3000</t>
  </si>
  <si>
    <t>Line pha chế GEA</t>
  </si>
  <si>
    <t>GEA PLB-700</t>
  </si>
  <si>
    <t>≤ 25 oC; ≤ 60% RH</t>
  </si>
  <si>
    <t>LP-30 (thiết bị rời PDS-191)</t>
  </si>
  <si>
    <t>LP-30 (thiết bị rời PDS-130)</t>
  </si>
  <si>
    <t>Line pha chế S1</t>
  </si>
  <si>
    <t>LP30 (thiết bị rời pds-191)</t>
  </si>
  <si>
    <t>LP30 (thiết bị rời pds-130)</t>
  </si>
  <si>
    <t>Tapasya S13</t>
  </si>
  <si>
    <t>Line pha chế S16</t>
  </si>
  <si>
    <t>Anish 500L</t>
  </si>
  <si>
    <t>Tapasya 2200L (S9/S12)</t>
  </si>
  <si>
    <t>Line pha chế S3</t>
  </si>
  <si>
    <t>Line pha chế Tapasya</t>
  </si>
  <si>
    <t>Tapasya S57</t>
  </si>
  <si>
    <t>Mobile</t>
  </si>
  <si>
    <t>Trộn vi hạt s15</t>
  </si>
  <si>
    <t>Máy ép vỉ Bmax</t>
  </si>
  <si>
    <t>Máy ép vỉ EVN</t>
  </si>
  <si>
    <t>Máy ép vỉ Pampac B45</t>
  </si>
  <si>
    <t>Máy ép vỉ Pampac BQS</t>
  </si>
  <si>
    <t>Máy ép vỉ PG-Ecostar</t>
  </si>
  <si>
    <t xml:space="preserve">Line pha chế GEA - GEA PLB-700   </t>
  </si>
  <si>
    <t xml:space="preserve">Line pha chế S16 - Anish 500L   </t>
  </si>
  <si>
    <t xml:space="preserve">Line pha chế S3 - Tapasya S13   </t>
  </si>
  <si>
    <t>Thể Tích Bin Tối Thiểu (L)</t>
  </si>
  <si>
    <t>Số SOP đối chiếu: GP-SOP-086
Số biểu mẫu: GP/F/221-01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</si>
</sst>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mo"/>
      <family val="2"/>
    </font>
    <font>
      <b/>
      <sz val="10"/>
      <color theme="1"/>
      <name val="Arimo"/>
      <family val="2"/>
    </font>
    <font>
      <sz val="10"/>
      <color theme="1"/>
      <name val="Arimo"/>
      <family val="2"/>
    </font>
    <font>
      <sz val="9"/>
      <color theme="1"/>
      <name val="Arimo"/>
      <family val="2"/>
    </font>
    <font>
      <vertAlign val="superscript"/>
      <sz val="9"/>
      <color theme="1"/>
      <name val="Arimo"/>
      <family val="2"/>
    </font>
    <font>
      <b/>
      <sz val="9"/>
      <color theme="1"/>
      <name val="Arimo"/>
      <family val="2"/>
    </font>
    <font>
      <sz val="11"/>
      <color rgb="FF000000"/>
      <name val="Verdana"/>
      <family val="2"/>
    </font>
    <font>
      <b/>
      <sz val="11"/>
      <color rgb="FF000000"/>
      <name val="Verdana"/>
      <family val="2"/>
    </font>
    <font>
      <sz val="11"/>
      <color theme="0"/>
      <name val="Calibri"/>
      <family val="2"/>
      <scheme val="minor"/>
    </font>
    <font>
      <b/>
      <sz val="12"/>
      <color indexed="8"/>
      <name val="Arimo"/>
      <family val="2"/>
    </font>
    <font>
      <sz val="12"/>
      <color theme="1"/>
      <name val="Arimo"/>
      <family val="2"/>
    </font>
    <font>
      <b/>
      <sz val="12"/>
      <name val="Arimo"/>
      <family val="2"/>
    </font>
    <font>
      <sz val="10"/>
      <name val="Arimo"/>
      <family val="2"/>
    </font>
    <font>
      <b/>
      <sz val="11"/>
      <color theme="1"/>
      <name val="Arimo"/>
      <family val="2"/>
    </font>
    <font>
      <sz val="11"/>
      <color rgb="FFFF0000"/>
      <name val="Calibri"/>
      <family val="2"/>
      <scheme val="minor"/>
    </font>
    <font>
      <b/>
      <sz val="14"/>
      <color theme="1"/>
      <name val="Arimo"/>
      <family val="2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222222"/>
      <name val="Segoe UI"/>
      <family val="2"/>
    </font>
    <font>
      <sz val="11"/>
      <color rgb="FF222222"/>
      <name val="Segoe U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0CECE"/>
        <bgColor indexed="64"/>
      </patternFill>
    </fill>
    <fill>
      <patternFill patternType="solid">
        <fgColor rgb="FFCDC71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DC717"/>
        <bgColor indexed="0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23" fillId="0" borderId="0" applyNumberFormat="0" applyFill="0" applyBorder="0" applyAlignment="0" applyProtection="0"/>
  </cellStyleXfs>
  <cellXfs count="145">
    <xf numFmtId="0" fontId="0" fillId="0" borderId="0" xfId="0"/>
    <xf numFmtId="0" fontId="5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indent="2"/>
    </xf>
    <xf numFmtId="0" fontId="0" fillId="3" borderId="1" xfId="0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2" fillId="0" borderId="0" xfId="0" applyFont="1"/>
    <xf numFmtId="0" fontId="5" fillId="0" borderId="0" xfId="0" applyFont="1" applyAlignment="1">
      <alignment horizontal="left" vertical="center"/>
    </xf>
    <xf numFmtId="0" fontId="2" fillId="0" borderId="1" xfId="0" applyFont="1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3" fillId="0" borderId="1" xfId="0" applyFont="1" applyBorder="1"/>
    <xf numFmtId="0" fontId="3" fillId="0" borderId="1" xfId="0" quotePrefix="1" applyFont="1" applyBorder="1"/>
    <xf numFmtId="0" fontId="3" fillId="0" borderId="2" xfId="0" quotePrefix="1" applyFont="1" applyBorder="1"/>
    <xf numFmtId="0" fontId="13" fillId="0" borderId="0" xfId="0" applyFont="1" applyProtection="1">
      <protection locked="0"/>
    </xf>
    <xf numFmtId="0" fontId="12" fillId="7" borderId="1" xfId="1" applyFont="1" applyFill="1" applyBorder="1" applyAlignment="1" applyProtection="1">
      <alignment horizontal="center" vertical="center"/>
    </xf>
    <xf numFmtId="0" fontId="13" fillId="0" borderId="0" xfId="0" applyFont="1" applyProtection="1"/>
    <xf numFmtId="0" fontId="0" fillId="8" borderId="0" xfId="0" applyFill="1"/>
    <xf numFmtId="0" fontId="13" fillId="0" borderId="0" xfId="0" applyFont="1" applyAlignment="1" applyProtection="1">
      <alignment horizontal="center"/>
      <protection locked="0"/>
    </xf>
    <xf numFmtId="0" fontId="14" fillId="3" borderId="1" xfId="0" applyFont="1" applyFill="1" applyBorder="1" applyAlignment="1" applyProtection="1">
      <alignment vertical="center"/>
    </xf>
    <xf numFmtId="0" fontId="14" fillId="3" borderId="1" xfId="0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vertical="center"/>
    </xf>
    <xf numFmtId="0" fontId="5" fillId="0" borderId="0" xfId="0" applyFont="1" applyProtection="1">
      <protection locked="0"/>
    </xf>
    <xf numFmtId="0" fontId="15" fillId="5" borderId="0" xfId="0" applyFont="1" applyFill="1" applyAlignment="1" applyProtection="1">
      <alignment vertical="center" wrapText="1"/>
    </xf>
    <xf numFmtId="0" fontId="4" fillId="0" borderId="1" xfId="0" applyFont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6" fillId="0" borderId="1" xfId="0" applyFont="1" applyBorder="1" applyAlignment="1" applyProtection="1">
      <alignment horizontal="left" vertical="center" wrapText="1" indent="2"/>
      <protection locked="0"/>
    </xf>
    <xf numFmtId="0" fontId="0" fillId="6" borderId="1" xfId="0" applyFill="1" applyBorder="1" applyAlignment="1" applyProtection="1">
      <alignment horizontal="center"/>
    </xf>
    <xf numFmtId="0" fontId="12" fillId="7" borderId="1" xfId="1" applyFont="1" applyFill="1" applyBorder="1" applyAlignment="1" applyProtection="1">
      <alignment horizontal="center" vertical="center" wrapText="1"/>
    </xf>
    <xf numFmtId="0" fontId="13" fillId="0" borderId="0" xfId="0" applyFont="1" applyAlignment="1" applyProtection="1">
      <alignment wrapText="1"/>
    </xf>
    <xf numFmtId="0" fontId="13" fillId="0" borderId="0" xfId="0" applyFont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 wrapText="1"/>
    </xf>
    <xf numFmtId="0" fontId="8" fillId="0" borderId="1" xfId="0" applyFont="1" applyBorder="1" applyAlignment="1" applyProtection="1">
      <alignment horizontal="left" vertical="center" wrapText="1" indent="2"/>
      <protection locked="0"/>
    </xf>
    <xf numFmtId="0" fontId="0" fillId="6" borderId="1" xfId="0" applyFill="1" applyBorder="1" applyProtection="1"/>
    <xf numFmtId="0" fontId="2" fillId="3" borderId="1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Alignment="1" applyProtection="1">
      <alignment horizontal="center"/>
    </xf>
    <xf numFmtId="0" fontId="17" fillId="0" borderId="0" xfId="0" applyFont="1" applyFill="1" applyAlignment="1" applyProtection="1">
      <alignment horizontal="center"/>
    </xf>
    <xf numFmtId="0" fontId="17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14" fontId="0" fillId="3" borderId="0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2" borderId="1" xfId="0" applyFill="1" applyBorder="1" applyProtection="1">
      <protection locked="0"/>
    </xf>
    <xf numFmtId="0" fontId="0" fillId="6" borderId="1" xfId="0" applyFill="1" applyBorder="1" applyAlignment="1" applyProtection="1">
      <alignment horizontal="center" vertical="center"/>
    </xf>
    <xf numFmtId="14" fontId="13" fillId="0" borderId="0" xfId="0" applyNumberFormat="1" applyFont="1" applyProtection="1">
      <protection locked="0"/>
    </xf>
    <xf numFmtId="0" fontId="16" fillId="3" borderId="1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3" borderId="1" xfId="0" applyFill="1" applyBorder="1" applyAlignment="1" applyProtection="1">
      <alignment horizontal="center" vertical="center"/>
      <protection locked="0"/>
    </xf>
    <xf numFmtId="14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4" fillId="0" borderId="1" xfId="0" quotePrefix="1" applyFont="1" applyBorder="1" applyAlignment="1" applyProtection="1">
      <alignment horizontal="center" vertical="center" wrapText="1"/>
      <protection locked="0"/>
    </xf>
    <xf numFmtId="0" fontId="0" fillId="6" borderId="1" xfId="0" applyFill="1" applyBorder="1" applyProtection="1"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11" fillId="0" borderId="1" xfId="0" applyFont="1" applyFill="1" applyBorder="1" applyAlignment="1" applyProtection="1">
      <alignment horizontal="left" vertical="center"/>
      <protection locked="0"/>
    </xf>
    <xf numFmtId="0" fontId="6" fillId="5" borderId="1" xfId="0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0" fillId="3" borderId="1" xfId="0" applyFill="1" applyBorder="1" applyAlignment="1" applyProtection="1">
      <protection locked="0"/>
    </xf>
    <xf numFmtId="0" fontId="2" fillId="0" borderId="1" xfId="0" applyFont="1" applyBorder="1" applyAlignment="1" applyProtection="1">
      <alignment vertical="top"/>
      <protection locked="0"/>
    </xf>
    <xf numFmtId="0" fontId="0" fillId="0" borderId="1" xfId="0" applyBorder="1" applyAlignment="1" applyProtection="1">
      <alignment vertical="center"/>
      <protection locked="0"/>
    </xf>
    <xf numFmtId="0" fontId="16" fillId="0" borderId="3" xfId="0" applyFont="1" applyBorder="1" applyAlignment="1" applyProtection="1">
      <alignment vertical="center" wrapText="1"/>
      <protection locked="0"/>
    </xf>
    <xf numFmtId="0" fontId="16" fillId="0" borderId="4" xfId="0" applyFont="1" applyBorder="1" applyAlignment="1" applyProtection="1">
      <alignment vertical="center" wrapText="1"/>
      <protection locked="0"/>
    </xf>
    <xf numFmtId="0" fontId="16" fillId="0" borderId="2" xfId="0" applyFont="1" applyBorder="1" applyAlignment="1" applyProtection="1">
      <alignment vertical="center" wrapText="1"/>
      <protection locked="0"/>
    </xf>
    <xf numFmtId="0" fontId="0" fillId="0" borderId="0" xfId="0" applyProtection="1"/>
    <xf numFmtId="0" fontId="17" fillId="0" borderId="0" xfId="0" applyFont="1" applyProtection="1"/>
    <xf numFmtId="0" fontId="0" fillId="0" borderId="0" xfId="0" applyAlignment="1" applyProtection="1">
      <alignment vertical="center"/>
    </xf>
    <xf numFmtId="0" fontId="16" fillId="0" borderId="1" xfId="0" applyFont="1" applyBorder="1" applyAlignment="1" applyProtection="1">
      <protection locked="0"/>
    </xf>
    <xf numFmtId="0" fontId="18" fillId="0" borderId="0" xfId="0" applyFont="1" applyAlignment="1" applyProtection="1"/>
    <xf numFmtId="0" fontId="4" fillId="0" borderId="1" xfId="0" applyFont="1" applyBorder="1" applyAlignment="1" applyProtection="1">
      <alignment vertical="center" wrapText="1"/>
    </xf>
    <xf numFmtId="0" fontId="20" fillId="0" borderId="0" xfId="0" applyFont="1" applyFill="1" applyBorder="1" applyAlignment="1" applyProtection="1">
      <alignment horizontal="center" vertical="center"/>
    </xf>
    <xf numFmtId="0" fontId="17" fillId="0" borderId="0" xfId="0" applyFont="1" applyFill="1" applyProtection="1"/>
    <xf numFmtId="0" fontId="5" fillId="0" borderId="7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 wrapText="1"/>
    </xf>
    <xf numFmtId="0" fontId="11" fillId="5" borderId="0" xfId="0" applyFont="1" applyFill="1" applyProtection="1"/>
    <xf numFmtId="0" fontId="4" fillId="0" borderId="3" xfId="0" applyFont="1" applyBorder="1" applyAlignment="1" applyProtection="1">
      <alignment vertical="center" wrapText="1"/>
    </xf>
    <xf numFmtId="0" fontId="0" fillId="0" borderId="5" xfId="0" applyFill="1" applyBorder="1" applyProtection="1"/>
    <xf numFmtId="0" fontId="4" fillId="0" borderId="0" xfId="0" applyFont="1" applyFill="1" applyBorder="1" applyAlignment="1" applyProtection="1">
      <alignment horizontal="right" vertical="center"/>
    </xf>
    <xf numFmtId="0" fontId="2" fillId="0" borderId="1" xfId="0" applyFont="1" applyBorder="1" applyProtection="1"/>
    <xf numFmtId="0" fontId="0" fillId="0" borderId="6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16" fillId="0" borderId="4" xfId="0" applyFont="1" applyBorder="1" applyAlignment="1" applyProtection="1">
      <alignment vertical="center" wrapText="1"/>
    </xf>
    <xf numFmtId="0" fontId="4" fillId="0" borderId="1" xfId="0" quotePrefix="1" applyFont="1" applyBorder="1" applyAlignment="1" applyProtection="1">
      <alignment horizontal="center" vertical="center" wrapText="1"/>
    </xf>
    <xf numFmtId="0" fontId="0" fillId="0" borderId="1" xfId="0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left"/>
    </xf>
    <xf numFmtId="0" fontId="0" fillId="0" borderId="5" xfId="0" applyBorder="1" applyProtection="1"/>
    <xf numFmtId="0" fontId="0" fillId="0" borderId="0" xfId="0" applyAlignment="1" applyProtection="1">
      <alignment horizontal="right"/>
    </xf>
    <xf numFmtId="0" fontId="0" fillId="0" borderId="0" xfId="0" applyBorder="1" applyProtection="1"/>
    <xf numFmtId="0" fontId="0" fillId="3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4" fontId="0" fillId="0" borderId="0" xfId="0" applyNumberFormat="1" applyFill="1" applyBorder="1" applyAlignment="1" applyProtection="1">
      <alignment horizontal="center"/>
    </xf>
    <xf numFmtId="0" fontId="23" fillId="0" borderId="0" xfId="2" applyProtection="1"/>
    <xf numFmtId="0" fontId="0" fillId="3" borderId="1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top" wrapText="1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top"/>
      <protection locked="0"/>
    </xf>
    <xf numFmtId="0" fontId="4" fillId="5" borderId="3" xfId="0" applyFont="1" applyFill="1" applyBorder="1" applyAlignment="1" applyProtection="1">
      <alignment horizontal="center" vertic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4" fillId="5" borderId="3" xfId="0" applyFont="1" applyFill="1" applyBorder="1" applyAlignment="1" applyProtection="1">
      <alignment horizontal="center" vertical="center" wrapText="1"/>
      <protection locked="0"/>
    </xf>
    <xf numFmtId="0" fontId="0" fillId="3" borderId="3" xfId="0" applyFill="1" applyBorder="1" applyAlignment="1" applyProtection="1">
      <alignment horizontal="left" vertical="top" wrapText="1"/>
      <protection locked="0"/>
    </xf>
    <xf numFmtId="0" fontId="0" fillId="3" borderId="4" xfId="0" applyFill="1" applyBorder="1" applyAlignment="1" applyProtection="1">
      <alignment horizontal="left" vertical="top" wrapText="1"/>
      <protection locked="0"/>
    </xf>
    <xf numFmtId="0" fontId="0" fillId="3" borderId="2" xfId="0" applyFill="1" applyBorder="1" applyAlignment="1" applyProtection="1">
      <alignment horizontal="left" vertical="top" wrapText="1"/>
      <protection locked="0"/>
    </xf>
    <xf numFmtId="0" fontId="4" fillId="5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wrapText="1"/>
    </xf>
    <xf numFmtId="0" fontId="4" fillId="6" borderId="1" xfId="0" applyFont="1" applyFill="1" applyBorder="1" applyAlignment="1" applyProtection="1">
      <alignment horizontal="center" vertical="top" wrapText="1"/>
      <protection locked="0"/>
    </xf>
    <xf numFmtId="0" fontId="19" fillId="0" borderId="0" xfId="0" applyFont="1" applyAlignment="1" applyProtection="1">
      <alignment horizontal="center" vertical="center"/>
    </xf>
    <xf numFmtId="0" fontId="0" fillId="3" borderId="3" xfId="0" applyFill="1" applyBorder="1" applyAlignment="1" applyProtection="1">
      <alignment horizontal="left" vertical="top"/>
      <protection locked="0"/>
    </xf>
    <xf numFmtId="0" fontId="0" fillId="3" borderId="4" xfId="0" applyFill="1" applyBorder="1" applyAlignment="1" applyProtection="1">
      <alignment horizontal="left" vertical="top"/>
      <protection locked="0"/>
    </xf>
    <xf numFmtId="0" fontId="0" fillId="3" borderId="2" xfId="0" applyFill="1" applyBorder="1" applyAlignment="1" applyProtection="1">
      <alignment horizontal="left" vertical="top"/>
      <protection locked="0"/>
    </xf>
    <xf numFmtId="0" fontId="2" fillId="3" borderId="3" xfId="0" applyFont="1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/>
      <protection locked="0"/>
    </xf>
  </cellXfs>
  <cellStyles count="3">
    <cellStyle name="Hyperlink" xfId="2" builtinId="8"/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CDC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274320</xdr:colOff>
          <xdr:row>5</xdr:row>
          <xdr:rowOff>7620</xdr:rowOff>
        </xdr:from>
        <xdr:to>
          <xdr:col>7</xdr:col>
          <xdr:colOff>53340</xdr:colOff>
          <xdr:row>5</xdr:row>
          <xdr:rowOff>175260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274320</xdr:colOff>
          <xdr:row>5</xdr:row>
          <xdr:rowOff>182880</xdr:rowOff>
        </xdr:from>
        <xdr:to>
          <xdr:col>7</xdr:col>
          <xdr:colOff>53340</xdr:colOff>
          <xdr:row>7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144780</xdr:colOff>
          <xdr:row>5</xdr:row>
          <xdr:rowOff>7620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144780</xdr:colOff>
          <xdr:row>6</xdr:row>
          <xdr:rowOff>7620</xdr:rowOff>
        </xdr:from>
        <xdr:to>
          <xdr:col>7</xdr:col>
          <xdr:colOff>982980</xdr:colOff>
          <xdr:row>7</xdr:row>
          <xdr:rowOff>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5</xdr:row>
          <xdr:rowOff>22860</xdr:rowOff>
        </xdr:from>
        <xdr:to>
          <xdr:col>9</xdr:col>
          <xdr:colOff>0</xdr:colOff>
          <xdr:row>5</xdr:row>
          <xdr:rowOff>175260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5</xdr:row>
          <xdr:rowOff>0</xdr:rowOff>
        </xdr:from>
        <xdr:to>
          <xdr:col>10</xdr:col>
          <xdr:colOff>45720</xdr:colOff>
          <xdr:row>6</xdr:row>
          <xdr:rowOff>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3</xdr:row>
          <xdr:rowOff>0</xdr:rowOff>
        </xdr:from>
        <xdr:to>
          <xdr:col>9</xdr:col>
          <xdr:colOff>922020</xdr:colOff>
          <xdr:row>3</xdr:row>
          <xdr:rowOff>175260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6</xdr:row>
          <xdr:rowOff>22860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9</xdr:row>
          <xdr:rowOff>0</xdr:rowOff>
        </xdr:from>
        <xdr:to>
          <xdr:col>2</xdr:col>
          <xdr:colOff>845820</xdr:colOff>
          <xdr:row>9</xdr:row>
          <xdr:rowOff>0</xdr:rowOff>
        </xdr:to>
        <xdr:sp macro="" textlink="">
          <xdr:nvSpPr>
            <xdr:cNvPr id="5163" name="CheckSui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9</xdr:row>
          <xdr:rowOff>0</xdr:rowOff>
        </xdr:from>
        <xdr:to>
          <xdr:col>2</xdr:col>
          <xdr:colOff>845820</xdr:colOff>
          <xdr:row>9</xdr:row>
          <xdr:rowOff>0</xdr:rowOff>
        </xdr:to>
        <xdr:sp macro="" textlink="">
          <xdr:nvSpPr>
            <xdr:cNvPr id="5165" name="CheckNauHo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9</xdr:row>
          <xdr:rowOff>0</xdr:rowOff>
        </xdr:from>
        <xdr:to>
          <xdr:col>4</xdr:col>
          <xdr:colOff>731520</xdr:colOff>
          <xdr:row>9</xdr:row>
          <xdr:rowOff>0</xdr:rowOff>
        </xdr:to>
        <xdr:sp macro="" textlink="">
          <xdr:nvSpPr>
            <xdr:cNvPr id="5167" name="CheckDinhVi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</xdr:row>
          <xdr:rowOff>7620</xdr:rowOff>
        </xdr:from>
        <xdr:to>
          <xdr:col>6</xdr:col>
          <xdr:colOff>1143000</xdr:colOff>
          <xdr:row>4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436179</xdr:colOff>
      <xdr:row>0</xdr:row>
      <xdr:rowOff>93608</xdr:rowOff>
    </xdr:from>
    <xdr:to>
      <xdr:col>4</xdr:col>
      <xdr:colOff>715335</xdr:colOff>
      <xdr:row>0</xdr:row>
      <xdr:rowOff>422056</xdr:rowOff>
    </xdr:to>
    <xdr:pic>
      <xdr:nvPicPr>
        <xdr:cNvPr id="23" name="Picture 22" descr="Y:\Logo\Logo_STELLA_Ngang_Mau.jpg"/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36" t="26841" r="6302" b="21917"/>
        <a:stretch/>
      </xdr:blipFill>
      <xdr:spPr bwMode="auto">
        <a:xfrm>
          <a:off x="1169604" y="93608"/>
          <a:ext cx="1669806" cy="32844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600076</xdr:colOff>
      <xdr:row>0</xdr:row>
      <xdr:rowOff>0</xdr:rowOff>
    </xdr:from>
    <xdr:to>
      <xdr:col>16</xdr:col>
      <xdr:colOff>1</xdr:colOff>
      <xdr:row>0</xdr:row>
      <xdr:rowOff>438150</xdr:rowOff>
    </xdr:to>
    <xdr:sp macro="[0]!Sheet2.KhoaToanBoSheet" textlink="">
      <xdr:nvSpPr>
        <xdr:cNvPr id="2" name="Rectangle 1"/>
        <xdr:cNvSpPr/>
      </xdr:nvSpPr>
      <xdr:spPr>
        <a:xfrm>
          <a:off x="16373476" y="0"/>
          <a:ext cx="723900" cy="438150"/>
        </a:xfrm>
        <a:prstGeom prst="rect">
          <a:avLst/>
        </a:prstGeom>
        <a:solidFill>
          <a:srgbClr val="CDC717"/>
        </a:solidFill>
        <a:ln>
          <a:solidFill>
            <a:srgbClr val="CDC7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Hoàn</a:t>
          </a:r>
          <a:r>
            <a:rPr lang="en-US" sz="1100" b="1" baseline="0"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Thành</a:t>
          </a:r>
          <a:endParaRPr lang="en-US" sz="1100" b="1"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6</xdr:row>
          <xdr:rowOff>7620</xdr:rowOff>
        </xdr:from>
        <xdr:to>
          <xdr:col>10</xdr:col>
          <xdr:colOff>68580</xdr:colOff>
          <xdr:row>7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17</xdr:col>
      <xdr:colOff>447675</xdr:colOff>
      <xdr:row>1</xdr:row>
      <xdr:rowOff>3362</xdr:rowOff>
    </xdr:to>
    <xdr:sp macro="[0]!Update_DB_Blistering" textlink="">
      <xdr:nvSpPr>
        <xdr:cNvPr id="5" name="Rectangle 4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6792575" y="0"/>
          <a:ext cx="1047750" cy="593912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3653117</xdr:colOff>
      <xdr:row>0</xdr:row>
      <xdr:rowOff>0</xdr:rowOff>
    </xdr:from>
    <xdr:to>
      <xdr:col>13</xdr:col>
      <xdr:colOff>605116</xdr:colOff>
      <xdr:row>1</xdr:row>
      <xdr:rowOff>0</xdr:rowOff>
    </xdr:to>
    <xdr:sp macro="[0]!Update_DB_Granulation" textlink="">
      <xdr:nvSpPr>
        <xdr:cNvPr id="6" name="Rectangle 5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9621499" y="0"/>
          <a:ext cx="1210235" cy="593912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10</xdr:col>
      <xdr:colOff>560</xdr:colOff>
      <xdr:row>1</xdr:row>
      <xdr:rowOff>3362</xdr:rowOff>
    </xdr:to>
    <xdr:sp macro="[0]!Update_DB_Compression" textlink="">
      <xdr:nvSpPr>
        <xdr:cNvPr id="4" name="Rectangle 3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6583025" y="0"/>
          <a:ext cx="1219760" cy="593912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0</xdr:rowOff>
    </xdr:from>
    <xdr:to>
      <xdr:col>11</xdr:col>
      <xdr:colOff>10085</xdr:colOff>
      <xdr:row>1</xdr:row>
      <xdr:rowOff>3362</xdr:rowOff>
    </xdr:to>
    <xdr:sp macro="[0]!Update_DB_Capsule_Filling" textlink="">
      <xdr:nvSpPr>
        <xdr:cNvPr id="4" name="Rectangle 3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6897350" y="0"/>
          <a:ext cx="1219760" cy="593912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8</xdr:col>
      <xdr:colOff>560</xdr:colOff>
      <xdr:row>1</xdr:row>
      <xdr:rowOff>3362</xdr:rowOff>
    </xdr:to>
    <xdr:sp macro="[0]!Update_DB_Coating" textlink="">
      <xdr:nvSpPr>
        <xdr:cNvPr id="4" name="Rectangle 3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5868650" y="0"/>
          <a:ext cx="1219760" cy="593912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9526</xdr:rowOff>
    </xdr:from>
    <xdr:to>
      <xdr:col>8</xdr:col>
      <xdr:colOff>438150</xdr:colOff>
      <xdr:row>1</xdr:row>
      <xdr:rowOff>9526</xdr:rowOff>
    </xdr:to>
    <xdr:sp macro="[0]!Update_DB_Strip_Parking" textlink="">
      <xdr:nvSpPr>
        <xdr:cNvPr id="4" name="Rectangle 3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6449675" y="9526"/>
          <a:ext cx="1047750" cy="590550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8</xdr:col>
      <xdr:colOff>447675</xdr:colOff>
      <xdr:row>1</xdr:row>
      <xdr:rowOff>0</xdr:rowOff>
    </xdr:to>
    <xdr:sp macro="[0]!Update_DB_Sachet_Filling" textlink="">
      <xdr:nvSpPr>
        <xdr:cNvPr id="4" name="Rectangle 3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6468725" y="0"/>
          <a:ext cx="1047750" cy="590550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7</xdr:col>
      <xdr:colOff>560</xdr:colOff>
      <xdr:row>1</xdr:row>
      <xdr:rowOff>3362</xdr:rowOff>
    </xdr:to>
    <xdr:sp macro="[0]!Update_DB_Counting" textlink="">
      <xdr:nvSpPr>
        <xdr:cNvPr id="2" name="Rectangle 1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6602075" y="0"/>
          <a:ext cx="1219760" cy="593912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7</xdr:col>
      <xdr:colOff>560</xdr:colOff>
      <xdr:row>1</xdr:row>
      <xdr:rowOff>3362</xdr:rowOff>
    </xdr:to>
    <xdr:sp macro="[0]!Update_DB_Tube_Packing" textlink="">
      <xdr:nvSpPr>
        <xdr:cNvPr id="2" name="Rectangle 1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16621125" y="0"/>
          <a:ext cx="1219760" cy="593912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1685924</xdr:colOff>
      <xdr:row>0</xdr:row>
      <xdr:rowOff>9526</xdr:rowOff>
    </xdr:from>
    <xdr:to>
      <xdr:col>5</xdr:col>
      <xdr:colOff>0</xdr:colOff>
      <xdr:row>1</xdr:row>
      <xdr:rowOff>1</xdr:rowOff>
    </xdr:to>
    <xdr:sp macro="[0]!Update_User" textlink="">
      <xdr:nvSpPr>
        <xdr:cNvPr id="2" name="Rectangle 1">
          <a:extLst>
            <a:ext uri="{FF2B5EF4-FFF2-40B4-BE49-F238E27FC236}">
              <a16:creationId xmlns:a16="http://schemas.microsoft.com/office/drawing/2014/main" id="{46826865-FE95-47B9-A910-3FD04B84F373}"/>
            </a:ext>
          </a:extLst>
        </xdr:cNvPr>
        <xdr:cNvSpPr/>
      </xdr:nvSpPr>
      <xdr:spPr>
        <a:xfrm>
          <a:off x="3857624" y="9526"/>
          <a:ext cx="1285876" cy="304800"/>
        </a:xfrm>
        <a:prstGeom prst="rect">
          <a:avLst/>
        </a:prstGeom>
        <a:solidFill>
          <a:srgbClr val="CDC7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Cập</a:t>
          </a:r>
          <a:r>
            <a:rPr lang="en-US" sz="1200" b="1" baseline="0">
              <a:solidFill>
                <a:sysClr val="windowText" lastClr="000000"/>
              </a:solidFill>
              <a:latin typeface="Arimo" panose="020B0604020202020204" pitchFamily="34" charset="0"/>
              <a:ea typeface="Arimo" panose="020B0604020202020204" pitchFamily="34" charset="0"/>
              <a:cs typeface="Arimo" panose="020B0604020202020204" pitchFamily="34" charset="0"/>
            </a:rPr>
            <a:t> Nhật</a:t>
          </a:r>
          <a:endParaRPr lang="en-US" sz="1200" b="1">
            <a:solidFill>
              <a:sysClr val="windowText" lastClr="000000"/>
            </a:solidFill>
            <a:latin typeface="Arimo" panose="020B0604020202020204" pitchFamily="34" charset="0"/>
            <a:ea typeface="Arimo" panose="020B0604020202020204" pitchFamily="34" charset="0"/>
            <a:cs typeface="Arimo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6.ExcelTool/Product%20Line%20Selection/Production%20Line%20Selection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tion Equiment"/>
      <sheetName val="DB_Granulation"/>
      <sheetName val="DB_Blistering"/>
      <sheetName val="DB_Capsule Filling"/>
      <sheetName val="DB_Compression"/>
      <sheetName val="DB_Coating"/>
      <sheetName val="DB_Sachet Filling"/>
      <sheetName val="DB_Strip Parking"/>
      <sheetName val="Master Data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H2" t="str">
            <v>Trộn ướt</v>
          </cell>
          <cell r="I2">
            <v>1</v>
          </cell>
        </row>
        <row r="3">
          <cell r="H3" t="str">
            <v>Sấy tầng sôi tạo hạt</v>
          </cell>
          <cell r="I3">
            <v>2</v>
          </cell>
        </row>
        <row r="4">
          <cell r="H4" t="str">
            <v>Cán ép</v>
          </cell>
          <cell r="I4">
            <v>3</v>
          </cell>
        </row>
        <row r="5">
          <cell r="H5" t="str">
            <v>Trộn dập thẳng</v>
          </cell>
          <cell r="I5">
            <v>4</v>
          </cell>
        </row>
        <row r="6">
          <cell r="H6" t="str">
            <v>Trộn hoàn tất</v>
          </cell>
          <cell r="I6">
            <v>5</v>
          </cell>
        </row>
        <row r="14">
          <cell r="L14" t="str">
            <v>Cốm</v>
          </cell>
          <cell r="M14">
            <v>1</v>
          </cell>
        </row>
        <row r="15">
          <cell r="L15" t="str">
            <v>Pellet</v>
          </cell>
          <cell r="M15">
            <v>2</v>
          </cell>
        </row>
        <row r="20">
          <cell r="H20" t="str">
            <v>Viên 1 lớp</v>
          </cell>
          <cell r="I20">
            <v>1</v>
          </cell>
        </row>
        <row r="21">
          <cell r="H21" t="str">
            <v>Viên 2 lớp</v>
          </cell>
          <cell r="I21">
            <v>2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.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41"/>
  <sheetViews>
    <sheetView topLeftCell="D1" workbookViewId="0">
      <selection activeCell="O35" sqref="O35"/>
    </sheetView>
  </sheetViews>
  <sheetFormatPr defaultRowHeight="14.4" x14ac:dyDescent="0.3"/>
  <cols>
    <col min="1" max="1" width="56.44140625" style="7" customWidth="1"/>
    <col min="2" max="2" width="19.109375" style="8" customWidth="1"/>
    <col min="8" max="8" width="19" customWidth="1"/>
    <col min="10" max="10" width="17.6640625" customWidth="1"/>
    <col min="12" max="12" width="24.5546875" customWidth="1"/>
    <col min="15" max="15" width="19.109375" customWidth="1"/>
    <col min="16" max="16" width="12.33203125" customWidth="1"/>
    <col min="17" max="17" width="20.88671875" customWidth="1"/>
  </cols>
  <sheetData>
    <row r="1" spans="1:23" x14ac:dyDescent="0.3">
      <c r="A1" s="6" t="s">
        <v>489</v>
      </c>
      <c r="B1" s="6" t="s">
        <v>490</v>
      </c>
      <c r="H1" s="10" t="s">
        <v>7</v>
      </c>
      <c r="L1" s="10" t="s">
        <v>8</v>
      </c>
      <c r="O1" t="s">
        <v>491</v>
      </c>
      <c r="Q1" t="s">
        <v>492</v>
      </c>
      <c r="S1" s="39">
        <v>0</v>
      </c>
      <c r="T1" s="39">
        <v>0</v>
      </c>
      <c r="U1" s="40">
        <v>0</v>
      </c>
      <c r="V1" s="41">
        <v>0</v>
      </c>
      <c r="W1" s="42"/>
    </row>
    <row r="2" spans="1:23" x14ac:dyDescent="0.3">
      <c r="A2" s="4" t="s">
        <v>9</v>
      </c>
      <c r="B2" s="5" t="s">
        <v>10</v>
      </c>
      <c r="G2" s="3">
        <v>1</v>
      </c>
      <c r="H2" s="14" t="s">
        <v>3</v>
      </c>
      <c r="I2" s="3">
        <v>1</v>
      </c>
      <c r="K2" s="3">
        <v>1</v>
      </c>
      <c r="L2" s="2" t="s">
        <v>574</v>
      </c>
      <c r="M2" s="3">
        <v>1</v>
      </c>
      <c r="O2" t="s">
        <v>0</v>
      </c>
      <c r="Q2" t="s">
        <v>495</v>
      </c>
      <c r="S2" s="39">
        <v>0</v>
      </c>
      <c r="T2" s="39">
        <v>0</v>
      </c>
      <c r="U2" s="41">
        <v>0</v>
      </c>
      <c r="V2" s="41">
        <v>0</v>
      </c>
      <c r="W2" s="42">
        <v>1</v>
      </c>
    </row>
    <row r="3" spans="1:23" x14ac:dyDescent="0.3">
      <c r="A3" s="4" t="s">
        <v>11</v>
      </c>
      <c r="B3" s="5" t="s">
        <v>12</v>
      </c>
      <c r="G3" s="3">
        <v>2</v>
      </c>
      <c r="H3" s="1" t="s">
        <v>2</v>
      </c>
      <c r="I3" s="3">
        <v>2</v>
      </c>
      <c r="K3" s="3">
        <v>2</v>
      </c>
      <c r="L3" s="2" t="s">
        <v>558</v>
      </c>
      <c r="M3" s="3">
        <v>2</v>
      </c>
      <c r="O3" t="s">
        <v>493</v>
      </c>
      <c r="Q3" s="11" t="s">
        <v>498</v>
      </c>
    </row>
    <row r="4" spans="1:23" x14ac:dyDescent="0.3">
      <c r="A4" s="4" t="s">
        <v>13</v>
      </c>
      <c r="B4" s="5" t="s">
        <v>14</v>
      </c>
      <c r="G4" s="3">
        <v>3</v>
      </c>
      <c r="H4" s="1" t="s">
        <v>4</v>
      </c>
      <c r="I4" s="3">
        <v>3</v>
      </c>
      <c r="K4" s="3">
        <v>3</v>
      </c>
      <c r="L4" s="2" t="s">
        <v>559</v>
      </c>
      <c r="M4" s="3">
        <v>3</v>
      </c>
      <c r="O4" t="s">
        <v>494</v>
      </c>
      <c r="Q4" t="s">
        <v>496</v>
      </c>
    </row>
    <row r="5" spans="1:23" x14ac:dyDescent="0.3">
      <c r="A5" s="4" t="s">
        <v>15</v>
      </c>
      <c r="B5" s="5" t="s">
        <v>16</v>
      </c>
      <c r="G5" s="3">
        <v>4</v>
      </c>
      <c r="H5" s="1" t="s">
        <v>5</v>
      </c>
      <c r="I5" s="3">
        <v>4</v>
      </c>
      <c r="K5" s="3">
        <v>4</v>
      </c>
      <c r="L5" s="2" t="s">
        <v>560</v>
      </c>
      <c r="M5" s="3">
        <v>4</v>
      </c>
      <c r="Q5" t="s">
        <v>497</v>
      </c>
    </row>
    <row r="6" spans="1:23" x14ac:dyDescent="0.3">
      <c r="A6" s="4" t="s">
        <v>17</v>
      </c>
      <c r="B6" s="5" t="s">
        <v>18</v>
      </c>
      <c r="G6" s="3">
        <v>5</v>
      </c>
      <c r="H6" s="1" t="s">
        <v>6</v>
      </c>
      <c r="I6" s="3">
        <v>5</v>
      </c>
      <c r="K6" s="3">
        <v>5</v>
      </c>
      <c r="L6" s="2" t="s">
        <v>561</v>
      </c>
      <c r="M6" s="3">
        <v>5</v>
      </c>
    </row>
    <row r="7" spans="1:23" x14ac:dyDescent="0.3">
      <c r="A7" s="4" t="s">
        <v>19</v>
      </c>
      <c r="B7" s="5" t="s">
        <v>20</v>
      </c>
      <c r="K7" s="3">
        <v>6</v>
      </c>
      <c r="L7" s="2" t="s">
        <v>562</v>
      </c>
      <c r="M7" s="3">
        <v>6</v>
      </c>
      <c r="S7" t="s">
        <v>632</v>
      </c>
    </row>
    <row r="8" spans="1:23" x14ac:dyDescent="0.3">
      <c r="A8" s="4" t="s">
        <v>21</v>
      </c>
      <c r="B8" s="5" t="s">
        <v>22</v>
      </c>
    </row>
    <row r="9" spans="1:23" x14ac:dyDescent="0.3">
      <c r="A9" s="4" t="s">
        <v>23</v>
      </c>
      <c r="B9" s="5" t="s">
        <v>24</v>
      </c>
    </row>
    <row r="10" spans="1:23" x14ac:dyDescent="0.3">
      <c r="A10" s="4" t="s">
        <v>25</v>
      </c>
      <c r="B10" s="5" t="s">
        <v>26</v>
      </c>
    </row>
    <row r="11" spans="1:23" x14ac:dyDescent="0.3">
      <c r="A11" s="4" t="s">
        <v>27</v>
      </c>
      <c r="B11" s="5" t="s">
        <v>28</v>
      </c>
    </row>
    <row r="12" spans="1:23" x14ac:dyDescent="0.3">
      <c r="A12" s="4" t="s">
        <v>29</v>
      </c>
      <c r="B12" s="5" t="s">
        <v>30</v>
      </c>
      <c r="Q12" t="s">
        <v>598</v>
      </c>
      <c r="R12">
        <v>0</v>
      </c>
    </row>
    <row r="13" spans="1:23" x14ac:dyDescent="0.3">
      <c r="A13" s="4" t="s">
        <v>31</v>
      </c>
      <c r="B13" s="5" t="s">
        <v>32</v>
      </c>
      <c r="H13" s="13" t="s">
        <v>502</v>
      </c>
      <c r="J13" s="13" t="s">
        <v>505</v>
      </c>
      <c r="L13" s="13" t="s">
        <v>512</v>
      </c>
      <c r="M13" s="9"/>
      <c r="O13" t="s">
        <v>524</v>
      </c>
      <c r="Q13" t="s">
        <v>647</v>
      </c>
      <c r="R13">
        <v>1</v>
      </c>
    </row>
    <row r="14" spans="1:23" x14ac:dyDescent="0.3">
      <c r="A14" s="4" t="s">
        <v>33</v>
      </c>
      <c r="B14" s="5" t="s">
        <v>34</v>
      </c>
      <c r="H14" s="15" t="s">
        <v>503</v>
      </c>
      <c r="J14" s="16" t="s">
        <v>506</v>
      </c>
      <c r="L14" s="16" t="s">
        <v>513</v>
      </c>
      <c r="M14" s="9">
        <v>1</v>
      </c>
      <c r="O14" t="s">
        <v>570</v>
      </c>
      <c r="Q14" t="s">
        <v>648</v>
      </c>
      <c r="R14">
        <v>2</v>
      </c>
    </row>
    <row r="15" spans="1:23" x14ac:dyDescent="0.3">
      <c r="A15" s="4" t="s">
        <v>35</v>
      </c>
      <c r="B15" s="5" t="s">
        <v>36</v>
      </c>
      <c r="H15" s="15" t="s">
        <v>504</v>
      </c>
      <c r="J15" s="16" t="s">
        <v>507</v>
      </c>
      <c r="L15" s="16" t="s">
        <v>514</v>
      </c>
      <c r="M15" s="9">
        <v>2</v>
      </c>
    </row>
    <row r="16" spans="1:23" x14ac:dyDescent="0.3">
      <c r="A16" s="4" t="s">
        <v>37</v>
      </c>
      <c r="B16" s="5" t="s">
        <v>38</v>
      </c>
      <c r="J16" s="16" t="s">
        <v>508</v>
      </c>
    </row>
    <row r="17" spans="1:15" x14ac:dyDescent="0.3">
      <c r="A17" s="4" t="s">
        <v>39</v>
      </c>
      <c r="B17" s="5" t="s">
        <v>40</v>
      </c>
      <c r="J17" s="16" t="s">
        <v>509</v>
      </c>
    </row>
    <row r="18" spans="1:15" x14ac:dyDescent="0.3">
      <c r="A18" s="4" t="s">
        <v>41</v>
      </c>
      <c r="B18" s="5" t="s">
        <v>42</v>
      </c>
      <c r="J18" s="16" t="s">
        <v>510</v>
      </c>
    </row>
    <row r="19" spans="1:15" x14ac:dyDescent="0.3">
      <c r="A19" s="4" t="s">
        <v>43</v>
      </c>
      <c r="B19" s="5" t="s">
        <v>44</v>
      </c>
      <c r="H19" s="13" t="s">
        <v>499</v>
      </c>
      <c r="I19" s="9"/>
      <c r="J19" s="17" t="s">
        <v>511</v>
      </c>
      <c r="O19" t="s">
        <v>618</v>
      </c>
    </row>
    <row r="20" spans="1:15" x14ac:dyDescent="0.3">
      <c r="A20" s="4" t="s">
        <v>45</v>
      </c>
      <c r="B20" s="5" t="s">
        <v>46</v>
      </c>
      <c r="H20" s="15" t="s">
        <v>501</v>
      </c>
      <c r="I20" s="9">
        <v>1</v>
      </c>
      <c r="O20" t="s">
        <v>619</v>
      </c>
    </row>
    <row r="21" spans="1:15" x14ac:dyDescent="0.3">
      <c r="A21" s="4" t="s">
        <v>47</v>
      </c>
      <c r="B21" s="5" t="s">
        <v>48</v>
      </c>
      <c r="H21" s="15" t="s">
        <v>500</v>
      </c>
      <c r="I21" s="9">
        <v>2</v>
      </c>
      <c r="O21" t="s">
        <v>620</v>
      </c>
    </row>
    <row r="22" spans="1:15" x14ac:dyDescent="0.3">
      <c r="A22" s="4" t="s">
        <v>49</v>
      </c>
      <c r="B22" s="5" t="s">
        <v>50</v>
      </c>
      <c r="O22" t="s">
        <v>621</v>
      </c>
    </row>
    <row r="23" spans="1:15" x14ac:dyDescent="0.3">
      <c r="A23" s="4" t="s">
        <v>51</v>
      </c>
      <c r="B23" s="5" t="s">
        <v>52</v>
      </c>
      <c r="O23" t="s">
        <v>622</v>
      </c>
    </row>
    <row r="24" spans="1:15" x14ac:dyDescent="0.3">
      <c r="A24" s="4" t="s">
        <v>53</v>
      </c>
      <c r="B24" s="5" t="s">
        <v>54</v>
      </c>
      <c r="O24" t="s">
        <v>623</v>
      </c>
    </row>
    <row r="25" spans="1:15" x14ac:dyDescent="0.3">
      <c r="A25" s="4" t="s">
        <v>55</v>
      </c>
      <c r="B25" s="5" t="s">
        <v>56</v>
      </c>
      <c r="H25" s="13" t="s">
        <v>515</v>
      </c>
      <c r="J25" s="12" t="s">
        <v>518</v>
      </c>
      <c r="K25" s="9"/>
    </row>
    <row r="26" spans="1:15" ht="15.6" x14ac:dyDescent="0.3">
      <c r="A26" s="4" t="s">
        <v>57</v>
      </c>
      <c r="B26" s="5" t="s">
        <v>58</v>
      </c>
      <c r="H26" s="9" t="s">
        <v>516</v>
      </c>
      <c r="J26" s="9" t="s">
        <v>519</v>
      </c>
      <c r="K26" s="9">
        <v>-1</v>
      </c>
      <c r="L26" s="18" t="b">
        <v>1</v>
      </c>
    </row>
    <row r="27" spans="1:15" ht="15.6" x14ac:dyDescent="0.3">
      <c r="A27" s="4" t="s">
        <v>59</v>
      </c>
      <c r="B27" s="5" t="s">
        <v>60</v>
      </c>
      <c r="H27" s="9" t="s">
        <v>517</v>
      </c>
      <c r="J27" s="9" t="s">
        <v>520</v>
      </c>
      <c r="K27" s="9">
        <v>0</v>
      </c>
      <c r="L27" s="18" t="b">
        <v>0</v>
      </c>
    </row>
    <row r="28" spans="1:15" x14ac:dyDescent="0.3">
      <c r="A28" s="4" t="s">
        <v>61</v>
      </c>
      <c r="B28" s="5" t="s">
        <v>62</v>
      </c>
    </row>
    <row r="29" spans="1:15" x14ac:dyDescent="0.3">
      <c r="A29" s="4" t="s">
        <v>63</v>
      </c>
      <c r="B29" s="5" t="s">
        <v>64</v>
      </c>
    </row>
    <row r="30" spans="1:15" x14ac:dyDescent="0.3">
      <c r="A30" s="4" t="s">
        <v>65</v>
      </c>
      <c r="B30" s="5" t="s">
        <v>66</v>
      </c>
    </row>
    <row r="31" spans="1:15" x14ac:dyDescent="0.3">
      <c r="A31" s="4" t="s">
        <v>67</v>
      </c>
      <c r="B31" s="5" t="s">
        <v>68</v>
      </c>
      <c r="H31" s="12" t="s">
        <v>521</v>
      </c>
      <c r="J31" s="9"/>
    </row>
    <row r="32" spans="1:15" x14ac:dyDescent="0.3">
      <c r="A32" s="4" t="s">
        <v>69</v>
      </c>
      <c r="B32" s="5" t="s">
        <v>70</v>
      </c>
      <c r="H32" s="9" t="s">
        <v>523</v>
      </c>
      <c r="J32" s="9" t="s">
        <v>616</v>
      </c>
    </row>
    <row r="33" spans="1:10" x14ac:dyDescent="0.3">
      <c r="A33" s="4" t="s">
        <v>71</v>
      </c>
      <c r="B33" s="5" t="s">
        <v>72</v>
      </c>
      <c r="H33" s="9" t="s">
        <v>522</v>
      </c>
      <c r="J33" s="9" t="s">
        <v>617</v>
      </c>
    </row>
    <row r="34" spans="1:10" x14ac:dyDescent="0.3">
      <c r="A34" s="4" t="s">
        <v>73</v>
      </c>
      <c r="B34" s="5" t="s">
        <v>74</v>
      </c>
    </row>
    <row r="35" spans="1:10" x14ac:dyDescent="0.3">
      <c r="A35" s="4" t="s">
        <v>75</v>
      </c>
      <c r="B35" s="5" t="s">
        <v>76</v>
      </c>
    </row>
    <row r="36" spans="1:10" x14ac:dyDescent="0.3">
      <c r="A36" s="4" t="s">
        <v>77</v>
      </c>
      <c r="B36" s="5" t="s">
        <v>78</v>
      </c>
    </row>
    <row r="37" spans="1:10" x14ac:dyDescent="0.3">
      <c r="A37" s="4" t="s">
        <v>79</v>
      </c>
      <c r="B37" s="5" t="s">
        <v>80</v>
      </c>
    </row>
    <row r="38" spans="1:10" x14ac:dyDescent="0.3">
      <c r="A38" s="4" t="s">
        <v>81</v>
      </c>
      <c r="B38" s="5" t="s">
        <v>82</v>
      </c>
    </row>
    <row r="39" spans="1:10" x14ac:dyDescent="0.3">
      <c r="A39" s="4" t="s">
        <v>83</v>
      </c>
      <c r="B39" s="5" t="s">
        <v>84</v>
      </c>
    </row>
    <row r="40" spans="1:10" x14ac:dyDescent="0.3">
      <c r="A40" s="4" t="s">
        <v>85</v>
      </c>
      <c r="B40" s="5" t="s">
        <v>86</v>
      </c>
    </row>
    <row r="41" spans="1:10" x14ac:dyDescent="0.3">
      <c r="A41" s="4" t="s">
        <v>87</v>
      </c>
      <c r="B41" s="5" t="s">
        <v>88</v>
      </c>
    </row>
    <row r="42" spans="1:10" x14ac:dyDescent="0.3">
      <c r="A42" s="4" t="s">
        <v>89</v>
      </c>
      <c r="B42" s="5" t="s">
        <v>90</v>
      </c>
    </row>
    <row r="43" spans="1:10" x14ac:dyDescent="0.3">
      <c r="A43" s="4" t="s">
        <v>91</v>
      </c>
      <c r="B43" s="5" t="s">
        <v>92</v>
      </c>
    </row>
    <row r="44" spans="1:10" x14ac:dyDescent="0.3">
      <c r="A44" s="4" t="s">
        <v>93</v>
      </c>
      <c r="B44" s="5" t="s">
        <v>94</v>
      </c>
    </row>
    <row r="45" spans="1:10" x14ac:dyDescent="0.3">
      <c r="A45" s="4" t="s">
        <v>95</v>
      </c>
      <c r="B45" s="5" t="s">
        <v>96</v>
      </c>
    </row>
    <row r="46" spans="1:10" x14ac:dyDescent="0.3">
      <c r="A46" s="4" t="s">
        <v>97</v>
      </c>
      <c r="B46" s="5" t="s">
        <v>98</v>
      </c>
    </row>
    <row r="47" spans="1:10" x14ac:dyDescent="0.3">
      <c r="A47" s="4" t="s">
        <v>99</v>
      </c>
      <c r="B47" s="5" t="s">
        <v>100</v>
      </c>
    </row>
    <row r="48" spans="1:10" x14ac:dyDescent="0.3">
      <c r="A48" s="4" t="s">
        <v>101</v>
      </c>
      <c r="B48" s="5" t="s">
        <v>102</v>
      </c>
    </row>
    <row r="49" spans="1:2" x14ac:dyDescent="0.3">
      <c r="A49" s="4" t="s">
        <v>103</v>
      </c>
      <c r="B49" s="5" t="s">
        <v>104</v>
      </c>
    </row>
    <row r="50" spans="1:2" x14ac:dyDescent="0.3">
      <c r="A50" s="4" t="s">
        <v>105</v>
      </c>
      <c r="B50" s="5" t="s">
        <v>106</v>
      </c>
    </row>
    <row r="51" spans="1:2" x14ac:dyDescent="0.3">
      <c r="A51" s="4" t="s">
        <v>107</v>
      </c>
      <c r="B51" s="5" t="s">
        <v>108</v>
      </c>
    </row>
    <row r="52" spans="1:2" x14ac:dyDescent="0.3">
      <c r="A52" s="4" t="s">
        <v>109</v>
      </c>
      <c r="B52" s="5" t="s">
        <v>110</v>
      </c>
    </row>
    <row r="53" spans="1:2" x14ac:dyDescent="0.3">
      <c r="A53" s="4" t="s">
        <v>111</v>
      </c>
      <c r="B53" s="5" t="s">
        <v>112</v>
      </c>
    </row>
    <row r="54" spans="1:2" x14ac:dyDescent="0.3">
      <c r="A54" s="4" t="s">
        <v>113</v>
      </c>
      <c r="B54" s="5" t="s">
        <v>114</v>
      </c>
    </row>
    <row r="55" spans="1:2" x14ac:dyDescent="0.3">
      <c r="A55" s="4" t="s">
        <v>115</v>
      </c>
      <c r="B55" s="5" t="s">
        <v>116</v>
      </c>
    </row>
    <row r="56" spans="1:2" x14ac:dyDescent="0.3">
      <c r="A56" s="4" t="s">
        <v>117</v>
      </c>
      <c r="B56" s="5" t="s">
        <v>118</v>
      </c>
    </row>
    <row r="57" spans="1:2" x14ac:dyDescent="0.3">
      <c r="A57" s="4" t="s">
        <v>119</v>
      </c>
      <c r="B57" s="5" t="s">
        <v>120</v>
      </c>
    </row>
    <row r="58" spans="1:2" x14ac:dyDescent="0.3">
      <c r="A58" s="4" t="s">
        <v>121</v>
      </c>
      <c r="B58" s="5" t="s">
        <v>122</v>
      </c>
    </row>
    <row r="59" spans="1:2" x14ac:dyDescent="0.3">
      <c r="A59" s="4" t="s">
        <v>123</v>
      </c>
      <c r="B59" s="5" t="s">
        <v>124</v>
      </c>
    </row>
    <row r="60" spans="1:2" x14ac:dyDescent="0.3">
      <c r="A60" s="4" t="s">
        <v>125</v>
      </c>
      <c r="B60" s="5" t="s">
        <v>126</v>
      </c>
    </row>
    <row r="61" spans="1:2" x14ac:dyDescent="0.3">
      <c r="A61" s="4" t="s">
        <v>127</v>
      </c>
      <c r="B61" s="5" t="s">
        <v>128</v>
      </c>
    </row>
    <row r="62" spans="1:2" x14ac:dyDescent="0.3">
      <c r="A62" s="4" t="s">
        <v>129</v>
      </c>
      <c r="B62" s="5" t="s">
        <v>130</v>
      </c>
    </row>
    <row r="63" spans="1:2" x14ac:dyDescent="0.3">
      <c r="A63" s="4" t="s">
        <v>131</v>
      </c>
      <c r="B63" s="5" t="s">
        <v>132</v>
      </c>
    </row>
    <row r="64" spans="1:2" x14ac:dyDescent="0.3">
      <c r="A64" s="4" t="s">
        <v>133</v>
      </c>
      <c r="B64" s="5" t="s">
        <v>134</v>
      </c>
    </row>
    <row r="65" spans="1:2" x14ac:dyDescent="0.3">
      <c r="A65" s="4" t="s">
        <v>135</v>
      </c>
      <c r="B65" s="5" t="s">
        <v>136</v>
      </c>
    </row>
    <row r="66" spans="1:2" x14ac:dyDescent="0.3">
      <c r="A66" s="4" t="s">
        <v>137</v>
      </c>
      <c r="B66" s="5" t="s">
        <v>138</v>
      </c>
    </row>
    <row r="67" spans="1:2" x14ac:dyDescent="0.3">
      <c r="A67" s="4" t="s">
        <v>139</v>
      </c>
      <c r="B67" s="5" t="s">
        <v>140</v>
      </c>
    </row>
    <row r="68" spans="1:2" x14ac:dyDescent="0.3">
      <c r="A68" s="4" t="s">
        <v>141</v>
      </c>
      <c r="B68" s="5" t="s">
        <v>142</v>
      </c>
    </row>
    <row r="69" spans="1:2" x14ac:dyDescent="0.3">
      <c r="A69" s="4" t="s">
        <v>143</v>
      </c>
      <c r="B69" s="5" t="s">
        <v>144</v>
      </c>
    </row>
    <row r="70" spans="1:2" x14ac:dyDescent="0.3">
      <c r="A70" s="4" t="s">
        <v>145</v>
      </c>
      <c r="B70" s="5" t="s">
        <v>146</v>
      </c>
    </row>
    <row r="71" spans="1:2" x14ac:dyDescent="0.3">
      <c r="A71" s="4" t="s">
        <v>147</v>
      </c>
      <c r="B71" s="5" t="s">
        <v>148</v>
      </c>
    </row>
    <row r="72" spans="1:2" x14ac:dyDescent="0.3">
      <c r="A72" s="4" t="s">
        <v>149</v>
      </c>
      <c r="B72" s="5" t="s">
        <v>150</v>
      </c>
    </row>
    <row r="73" spans="1:2" x14ac:dyDescent="0.3">
      <c r="A73" s="4" t="s">
        <v>151</v>
      </c>
      <c r="B73" s="5" t="s">
        <v>152</v>
      </c>
    </row>
    <row r="74" spans="1:2" x14ac:dyDescent="0.3">
      <c r="A74" s="4" t="s">
        <v>153</v>
      </c>
      <c r="B74" s="5" t="s">
        <v>154</v>
      </c>
    </row>
    <row r="75" spans="1:2" x14ac:dyDescent="0.3">
      <c r="A75" s="4" t="s">
        <v>155</v>
      </c>
      <c r="B75" s="5" t="s">
        <v>156</v>
      </c>
    </row>
    <row r="76" spans="1:2" x14ac:dyDescent="0.3">
      <c r="A76" s="4" t="s">
        <v>157</v>
      </c>
      <c r="B76" s="5" t="s">
        <v>158</v>
      </c>
    </row>
    <row r="77" spans="1:2" x14ac:dyDescent="0.3">
      <c r="A77" s="4" t="s">
        <v>159</v>
      </c>
      <c r="B77" s="5" t="s">
        <v>160</v>
      </c>
    </row>
    <row r="78" spans="1:2" x14ac:dyDescent="0.3">
      <c r="A78" s="4" t="s">
        <v>161</v>
      </c>
      <c r="B78" s="5" t="s">
        <v>162</v>
      </c>
    </row>
    <row r="79" spans="1:2" x14ac:dyDescent="0.3">
      <c r="A79" s="4" t="s">
        <v>163</v>
      </c>
      <c r="B79" s="5" t="s">
        <v>164</v>
      </c>
    </row>
    <row r="80" spans="1:2" x14ac:dyDescent="0.3">
      <c r="A80" s="4" t="s">
        <v>165</v>
      </c>
      <c r="B80" s="5" t="s">
        <v>166</v>
      </c>
    </row>
    <row r="81" spans="1:2" x14ac:dyDescent="0.3">
      <c r="A81" s="4" t="s">
        <v>167</v>
      </c>
      <c r="B81" s="5" t="s">
        <v>168</v>
      </c>
    </row>
    <row r="82" spans="1:2" x14ac:dyDescent="0.3">
      <c r="A82" s="4" t="s">
        <v>169</v>
      </c>
      <c r="B82" s="5" t="s">
        <v>170</v>
      </c>
    </row>
    <row r="83" spans="1:2" x14ac:dyDescent="0.3">
      <c r="A83" s="4" t="s">
        <v>171</v>
      </c>
      <c r="B83" s="5" t="s">
        <v>172</v>
      </c>
    </row>
    <row r="84" spans="1:2" x14ac:dyDescent="0.3">
      <c r="A84" s="4" t="s">
        <v>173</v>
      </c>
      <c r="B84" s="5" t="s">
        <v>174</v>
      </c>
    </row>
    <row r="85" spans="1:2" x14ac:dyDescent="0.3">
      <c r="A85" s="4" t="s">
        <v>175</v>
      </c>
      <c r="B85" s="5" t="s">
        <v>176</v>
      </c>
    </row>
    <row r="86" spans="1:2" x14ac:dyDescent="0.3">
      <c r="A86" s="4" t="s">
        <v>177</v>
      </c>
      <c r="B86" s="5" t="s">
        <v>178</v>
      </c>
    </row>
    <row r="87" spans="1:2" x14ac:dyDescent="0.3">
      <c r="A87" s="4" t="s">
        <v>179</v>
      </c>
      <c r="B87" s="5" t="s">
        <v>180</v>
      </c>
    </row>
    <row r="88" spans="1:2" x14ac:dyDescent="0.3">
      <c r="A88" s="4" t="s">
        <v>181</v>
      </c>
      <c r="B88" s="5" t="s">
        <v>182</v>
      </c>
    </row>
    <row r="89" spans="1:2" x14ac:dyDescent="0.3">
      <c r="A89" s="4" t="s">
        <v>183</v>
      </c>
      <c r="B89" s="5" t="s">
        <v>184</v>
      </c>
    </row>
    <row r="90" spans="1:2" x14ac:dyDescent="0.3">
      <c r="A90" s="4" t="s">
        <v>185</v>
      </c>
      <c r="B90" s="5" t="s">
        <v>186</v>
      </c>
    </row>
    <row r="91" spans="1:2" x14ac:dyDescent="0.3">
      <c r="A91" s="4" t="s">
        <v>187</v>
      </c>
      <c r="B91" s="5" t="s">
        <v>188</v>
      </c>
    </row>
    <row r="92" spans="1:2" x14ac:dyDescent="0.3">
      <c r="A92" s="4" t="s">
        <v>189</v>
      </c>
      <c r="B92" s="5" t="s">
        <v>190</v>
      </c>
    </row>
    <row r="93" spans="1:2" x14ac:dyDescent="0.3">
      <c r="A93" s="4" t="s">
        <v>191</v>
      </c>
      <c r="B93" s="5" t="s">
        <v>192</v>
      </c>
    </row>
    <row r="94" spans="1:2" x14ac:dyDescent="0.3">
      <c r="A94" s="4" t="s">
        <v>193</v>
      </c>
      <c r="B94" s="5" t="s">
        <v>194</v>
      </c>
    </row>
    <row r="95" spans="1:2" x14ac:dyDescent="0.3">
      <c r="A95" s="4" t="s">
        <v>195</v>
      </c>
      <c r="B95" s="5" t="s">
        <v>196</v>
      </c>
    </row>
    <row r="96" spans="1:2" x14ac:dyDescent="0.3">
      <c r="A96" s="4" t="s">
        <v>197</v>
      </c>
      <c r="B96" s="5" t="s">
        <v>198</v>
      </c>
    </row>
    <row r="97" spans="1:2" x14ac:dyDescent="0.3">
      <c r="A97" s="4" t="s">
        <v>199</v>
      </c>
      <c r="B97" s="5" t="s">
        <v>200</v>
      </c>
    </row>
    <row r="98" spans="1:2" x14ac:dyDescent="0.3">
      <c r="A98" s="4" t="s">
        <v>201</v>
      </c>
      <c r="B98" s="5" t="s">
        <v>202</v>
      </c>
    </row>
    <row r="99" spans="1:2" x14ac:dyDescent="0.3">
      <c r="A99" s="4" t="s">
        <v>203</v>
      </c>
      <c r="B99" s="5" t="s">
        <v>204</v>
      </c>
    </row>
    <row r="100" spans="1:2" x14ac:dyDescent="0.3">
      <c r="A100" s="4" t="s">
        <v>205</v>
      </c>
      <c r="B100" s="5" t="s">
        <v>206</v>
      </c>
    </row>
    <row r="101" spans="1:2" x14ac:dyDescent="0.3">
      <c r="A101" s="4" t="s">
        <v>207</v>
      </c>
      <c r="B101" s="5" t="s">
        <v>208</v>
      </c>
    </row>
    <row r="102" spans="1:2" x14ac:dyDescent="0.3">
      <c r="A102" s="4" t="s">
        <v>209</v>
      </c>
      <c r="B102" s="5" t="s">
        <v>210</v>
      </c>
    </row>
    <row r="103" spans="1:2" x14ac:dyDescent="0.3">
      <c r="A103" s="4" t="s">
        <v>211</v>
      </c>
      <c r="B103" s="5" t="s">
        <v>212</v>
      </c>
    </row>
    <row r="104" spans="1:2" x14ac:dyDescent="0.3">
      <c r="A104" s="4" t="s">
        <v>213</v>
      </c>
      <c r="B104" s="5" t="s">
        <v>214</v>
      </c>
    </row>
    <row r="105" spans="1:2" x14ac:dyDescent="0.3">
      <c r="A105" s="4" t="s">
        <v>215</v>
      </c>
      <c r="B105" s="5" t="s">
        <v>216</v>
      </c>
    </row>
    <row r="106" spans="1:2" x14ac:dyDescent="0.3">
      <c r="A106" s="4" t="s">
        <v>217</v>
      </c>
      <c r="B106" s="5" t="s">
        <v>218</v>
      </c>
    </row>
    <row r="107" spans="1:2" x14ac:dyDescent="0.3">
      <c r="A107" s="4" t="s">
        <v>219</v>
      </c>
      <c r="B107" s="5" t="s">
        <v>220</v>
      </c>
    </row>
    <row r="108" spans="1:2" x14ac:dyDescent="0.3">
      <c r="A108" s="4" t="s">
        <v>221</v>
      </c>
      <c r="B108" s="5" t="s">
        <v>222</v>
      </c>
    </row>
    <row r="109" spans="1:2" x14ac:dyDescent="0.3">
      <c r="A109" s="4" t="s">
        <v>223</v>
      </c>
      <c r="B109" s="5" t="s">
        <v>224</v>
      </c>
    </row>
    <row r="110" spans="1:2" x14ac:dyDescent="0.3">
      <c r="A110" s="4" t="s">
        <v>225</v>
      </c>
      <c r="B110" s="5" t="s">
        <v>226</v>
      </c>
    </row>
    <row r="111" spans="1:2" x14ac:dyDescent="0.3">
      <c r="A111" s="4" t="s">
        <v>227</v>
      </c>
      <c r="B111" s="5" t="s">
        <v>228</v>
      </c>
    </row>
    <row r="112" spans="1:2" x14ac:dyDescent="0.3">
      <c r="A112" s="4" t="s">
        <v>229</v>
      </c>
      <c r="B112" s="5" t="s">
        <v>230</v>
      </c>
    </row>
    <row r="113" spans="1:2" x14ac:dyDescent="0.3">
      <c r="A113" s="4" t="s">
        <v>231</v>
      </c>
      <c r="B113" s="5" t="s">
        <v>232</v>
      </c>
    </row>
    <row r="114" spans="1:2" x14ac:dyDescent="0.3">
      <c r="A114" s="4" t="s">
        <v>233</v>
      </c>
      <c r="B114" s="5" t="s">
        <v>234</v>
      </c>
    </row>
    <row r="115" spans="1:2" x14ac:dyDescent="0.3">
      <c r="A115" s="4" t="s">
        <v>235</v>
      </c>
      <c r="B115" s="5" t="s">
        <v>236</v>
      </c>
    </row>
    <row r="116" spans="1:2" x14ac:dyDescent="0.3">
      <c r="A116" s="4" t="s">
        <v>237</v>
      </c>
      <c r="B116" s="5" t="s">
        <v>238</v>
      </c>
    </row>
    <row r="117" spans="1:2" x14ac:dyDescent="0.3">
      <c r="A117" s="4" t="s">
        <v>239</v>
      </c>
      <c r="B117" s="5" t="s">
        <v>240</v>
      </c>
    </row>
    <row r="118" spans="1:2" x14ac:dyDescent="0.3">
      <c r="A118" s="4" t="s">
        <v>241</v>
      </c>
      <c r="B118" s="5" t="s">
        <v>242</v>
      </c>
    </row>
    <row r="119" spans="1:2" x14ac:dyDescent="0.3">
      <c r="A119" s="4" t="s">
        <v>243</v>
      </c>
      <c r="B119" s="5" t="s">
        <v>244</v>
      </c>
    </row>
    <row r="120" spans="1:2" x14ac:dyDescent="0.3">
      <c r="A120" s="4" t="s">
        <v>245</v>
      </c>
      <c r="B120" s="5" t="s">
        <v>246</v>
      </c>
    </row>
    <row r="121" spans="1:2" x14ac:dyDescent="0.3">
      <c r="A121" s="4" t="s">
        <v>247</v>
      </c>
      <c r="B121" s="5" t="s">
        <v>248</v>
      </c>
    </row>
    <row r="122" spans="1:2" x14ac:dyDescent="0.3">
      <c r="A122" s="4" t="s">
        <v>249</v>
      </c>
      <c r="B122" s="5" t="s">
        <v>250</v>
      </c>
    </row>
    <row r="123" spans="1:2" x14ac:dyDescent="0.3">
      <c r="A123" s="4" t="s">
        <v>251</v>
      </c>
      <c r="B123" s="5" t="s">
        <v>252</v>
      </c>
    </row>
    <row r="124" spans="1:2" x14ac:dyDescent="0.3">
      <c r="A124" s="4" t="s">
        <v>253</v>
      </c>
      <c r="B124" s="5" t="s">
        <v>254</v>
      </c>
    </row>
    <row r="125" spans="1:2" x14ac:dyDescent="0.3">
      <c r="A125" s="4" t="s">
        <v>255</v>
      </c>
      <c r="B125" s="5" t="s">
        <v>256</v>
      </c>
    </row>
    <row r="126" spans="1:2" x14ac:dyDescent="0.3">
      <c r="A126" s="4" t="s">
        <v>257</v>
      </c>
      <c r="B126" s="5" t="s">
        <v>258</v>
      </c>
    </row>
    <row r="127" spans="1:2" x14ac:dyDescent="0.3">
      <c r="A127" s="4" t="s">
        <v>259</v>
      </c>
      <c r="B127" s="5" t="s">
        <v>260</v>
      </c>
    </row>
    <row r="128" spans="1:2" x14ac:dyDescent="0.3">
      <c r="A128" s="4" t="s">
        <v>261</v>
      </c>
      <c r="B128" s="5" t="s">
        <v>262</v>
      </c>
    </row>
    <row r="129" spans="1:2" x14ac:dyDescent="0.3">
      <c r="A129" s="4" t="s">
        <v>263</v>
      </c>
      <c r="B129" s="5" t="s">
        <v>264</v>
      </c>
    </row>
    <row r="130" spans="1:2" x14ac:dyDescent="0.3">
      <c r="A130" s="4" t="s">
        <v>265</v>
      </c>
      <c r="B130" s="5" t="s">
        <v>266</v>
      </c>
    </row>
    <row r="131" spans="1:2" x14ac:dyDescent="0.3">
      <c r="A131" s="4" t="s">
        <v>267</v>
      </c>
      <c r="B131" s="5" t="s">
        <v>268</v>
      </c>
    </row>
    <row r="132" spans="1:2" x14ac:dyDescent="0.3">
      <c r="A132" s="4" t="s">
        <v>269</v>
      </c>
      <c r="B132" s="5" t="s">
        <v>270</v>
      </c>
    </row>
    <row r="133" spans="1:2" x14ac:dyDescent="0.3">
      <c r="A133" s="4" t="s">
        <v>271</v>
      </c>
      <c r="B133" s="5" t="s">
        <v>272</v>
      </c>
    </row>
    <row r="134" spans="1:2" x14ac:dyDescent="0.3">
      <c r="A134" s="4" t="s">
        <v>273</v>
      </c>
      <c r="B134" s="5" t="s">
        <v>274</v>
      </c>
    </row>
    <row r="135" spans="1:2" x14ac:dyDescent="0.3">
      <c r="A135" s="4" t="s">
        <v>275</v>
      </c>
      <c r="B135" s="5" t="s">
        <v>276</v>
      </c>
    </row>
    <row r="136" spans="1:2" x14ac:dyDescent="0.3">
      <c r="A136" s="4" t="s">
        <v>277</v>
      </c>
      <c r="B136" s="5" t="s">
        <v>278</v>
      </c>
    </row>
    <row r="137" spans="1:2" x14ac:dyDescent="0.3">
      <c r="A137" s="4" t="s">
        <v>279</v>
      </c>
      <c r="B137" s="5" t="s">
        <v>280</v>
      </c>
    </row>
    <row r="138" spans="1:2" x14ac:dyDescent="0.3">
      <c r="A138" s="4" t="s">
        <v>281</v>
      </c>
      <c r="B138" s="5" t="s">
        <v>282</v>
      </c>
    </row>
    <row r="139" spans="1:2" x14ac:dyDescent="0.3">
      <c r="A139" s="4" t="s">
        <v>283</v>
      </c>
      <c r="B139" s="5" t="s">
        <v>284</v>
      </c>
    </row>
    <row r="140" spans="1:2" x14ac:dyDescent="0.3">
      <c r="A140" s="4" t="s">
        <v>285</v>
      </c>
      <c r="B140" s="5" t="s">
        <v>286</v>
      </c>
    </row>
    <row r="141" spans="1:2" x14ac:dyDescent="0.3">
      <c r="A141" s="4" t="s">
        <v>287</v>
      </c>
      <c r="B141" s="5" t="s">
        <v>288</v>
      </c>
    </row>
    <row r="142" spans="1:2" x14ac:dyDescent="0.3">
      <c r="A142" s="4" t="s">
        <v>289</v>
      </c>
      <c r="B142" s="5" t="s">
        <v>290</v>
      </c>
    </row>
    <row r="143" spans="1:2" x14ac:dyDescent="0.3">
      <c r="A143" s="4" t="s">
        <v>291</v>
      </c>
      <c r="B143" s="5" t="s">
        <v>292</v>
      </c>
    </row>
    <row r="144" spans="1:2" x14ac:dyDescent="0.3">
      <c r="A144" s="4" t="s">
        <v>293</v>
      </c>
      <c r="B144" s="5" t="s">
        <v>294</v>
      </c>
    </row>
    <row r="145" spans="1:2" x14ac:dyDescent="0.3">
      <c r="A145" s="4" t="s">
        <v>295</v>
      </c>
      <c r="B145" s="5" t="s">
        <v>296</v>
      </c>
    </row>
    <row r="146" spans="1:2" x14ac:dyDescent="0.3">
      <c r="A146" s="4" t="s">
        <v>297</v>
      </c>
      <c r="B146" s="5" t="s">
        <v>298</v>
      </c>
    </row>
    <row r="147" spans="1:2" x14ac:dyDescent="0.3">
      <c r="A147" s="4" t="s">
        <v>299</v>
      </c>
      <c r="B147" s="5" t="s">
        <v>300</v>
      </c>
    </row>
    <row r="148" spans="1:2" x14ac:dyDescent="0.3">
      <c r="A148" s="4" t="s">
        <v>301</v>
      </c>
      <c r="B148" s="5" t="s">
        <v>302</v>
      </c>
    </row>
    <row r="149" spans="1:2" x14ac:dyDescent="0.3">
      <c r="A149" s="4" t="s">
        <v>303</v>
      </c>
      <c r="B149" s="5" t="s">
        <v>304</v>
      </c>
    </row>
    <row r="150" spans="1:2" x14ac:dyDescent="0.3">
      <c r="A150" s="4" t="s">
        <v>305</v>
      </c>
      <c r="B150" s="5" t="s">
        <v>306</v>
      </c>
    </row>
    <row r="151" spans="1:2" x14ac:dyDescent="0.3">
      <c r="A151" s="4" t="s">
        <v>307</v>
      </c>
      <c r="B151" s="5" t="s">
        <v>308</v>
      </c>
    </row>
    <row r="152" spans="1:2" x14ac:dyDescent="0.3">
      <c r="A152" s="4" t="s">
        <v>309</v>
      </c>
      <c r="B152" s="5" t="s">
        <v>310</v>
      </c>
    </row>
    <row r="153" spans="1:2" x14ac:dyDescent="0.3">
      <c r="A153" s="4" t="s">
        <v>311</v>
      </c>
      <c r="B153" s="5" t="s">
        <v>312</v>
      </c>
    </row>
    <row r="154" spans="1:2" x14ac:dyDescent="0.3">
      <c r="A154" s="4" t="s">
        <v>313</v>
      </c>
      <c r="B154" s="5" t="s">
        <v>314</v>
      </c>
    </row>
    <row r="155" spans="1:2" x14ac:dyDescent="0.3">
      <c r="A155" s="4" t="s">
        <v>315</v>
      </c>
      <c r="B155" s="5" t="s">
        <v>316</v>
      </c>
    </row>
    <row r="156" spans="1:2" x14ac:dyDescent="0.3">
      <c r="A156" s="4" t="s">
        <v>317</v>
      </c>
      <c r="B156" s="5" t="s">
        <v>318</v>
      </c>
    </row>
    <row r="157" spans="1:2" x14ac:dyDescent="0.3">
      <c r="A157" s="4" t="s">
        <v>319</v>
      </c>
      <c r="B157" s="5" t="s">
        <v>320</v>
      </c>
    </row>
    <row r="158" spans="1:2" x14ac:dyDescent="0.3">
      <c r="A158" s="4" t="s">
        <v>321</v>
      </c>
      <c r="B158" s="5" t="s">
        <v>322</v>
      </c>
    </row>
    <row r="159" spans="1:2" x14ac:dyDescent="0.3">
      <c r="A159" s="4" t="s">
        <v>323</v>
      </c>
      <c r="B159" s="5" t="s">
        <v>324</v>
      </c>
    </row>
    <row r="160" spans="1:2" x14ac:dyDescent="0.3">
      <c r="A160" s="4" t="s">
        <v>325</v>
      </c>
      <c r="B160" s="5" t="s">
        <v>326</v>
      </c>
    </row>
    <row r="161" spans="1:2" x14ac:dyDescent="0.3">
      <c r="A161" s="4" t="s">
        <v>327</v>
      </c>
      <c r="B161" s="5" t="s">
        <v>328</v>
      </c>
    </row>
    <row r="162" spans="1:2" x14ac:dyDescent="0.3">
      <c r="A162" s="4" t="s">
        <v>329</v>
      </c>
      <c r="B162" s="5" t="s">
        <v>330</v>
      </c>
    </row>
    <row r="163" spans="1:2" x14ac:dyDescent="0.3">
      <c r="A163" s="4" t="s">
        <v>331</v>
      </c>
      <c r="B163" s="5" t="s">
        <v>332</v>
      </c>
    </row>
    <row r="164" spans="1:2" x14ac:dyDescent="0.3">
      <c r="A164" s="4" t="s">
        <v>333</v>
      </c>
      <c r="B164" s="5" t="s">
        <v>334</v>
      </c>
    </row>
    <row r="165" spans="1:2" x14ac:dyDescent="0.3">
      <c r="A165" s="4" t="s">
        <v>335</v>
      </c>
      <c r="B165" s="5" t="s">
        <v>336</v>
      </c>
    </row>
    <row r="166" spans="1:2" x14ac:dyDescent="0.3">
      <c r="A166" s="4" t="s">
        <v>337</v>
      </c>
      <c r="B166" s="5" t="s">
        <v>338</v>
      </c>
    </row>
    <row r="167" spans="1:2" x14ac:dyDescent="0.3">
      <c r="A167" s="4" t="s">
        <v>339</v>
      </c>
      <c r="B167" s="5" t="s">
        <v>340</v>
      </c>
    </row>
    <row r="168" spans="1:2" x14ac:dyDescent="0.3">
      <c r="A168" s="4" t="s">
        <v>341</v>
      </c>
      <c r="B168" s="5" t="s">
        <v>342</v>
      </c>
    </row>
    <row r="169" spans="1:2" x14ac:dyDescent="0.3">
      <c r="A169" s="4" t="s">
        <v>343</v>
      </c>
      <c r="B169" s="5" t="s">
        <v>344</v>
      </c>
    </row>
    <row r="170" spans="1:2" x14ac:dyDescent="0.3">
      <c r="A170" s="4" t="s">
        <v>345</v>
      </c>
      <c r="B170" s="5" t="s">
        <v>346</v>
      </c>
    </row>
    <row r="171" spans="1:2" x14ac:dyDescent="0.3">
      <c r="A171" s="4" t="s">
        <v>347</v>
      </c>
      <c r="B171" s="5" t="s">
        <v>348</v>
      </c>
    </row>
    <row r="172" spans="1:2" x14ac:dyDescent="0.3">
      <c r="A172" s="4" t="s">
        <v>349</v>
      </c>
      <c r="B172" s="5" t="s">
        <v>350</v>
      </c>
    </row>
    <row r="173" spans="1:2" x14ac:dyDescent="0.3">
      <c r="A173" s="4" t="s">
        <v>351</v>
      </c>
      <c r="B173" s="5" t="s">
        <v>352</v>
      </c>
    </row>
    <row r="174" spans="1:2" x14ac:dyDescent="0.3">
      <c r="A174" s="4" t="s">
        <v>353</v>
      </c>
      <c r="B174" s="5" t="s">
        <v>354</v>
      </c>
    </row>
    <row r="175" spans="1:2" x14ac:dyDescent="0.3">
      <c r="A175" s="4" t="s">
        <v>355</v>
      </c>
      <c r="B175" s="5" t="s">
        <v>356</v>
      </c>
    </row>
    <row r="176" spans="1:2" x14ac:dyDescent="0.3">
      <c r="A176" s="4" t="s">
        <v>357</v>
      </c>
      <c r="B176" s="5" t="s">
        <v>358</v>
      </c>
    </row>
    <row r="177" spans="1:2" x14ac:dyDescent="0.3">
      <c r="A177" s="4" t="s">
        <v>359</v>
      </c>
      <c r="B177" s="5" t="s">
        <v>360</v>
      </c>
    </row>
    <row r="178" spans="1:2" x14ac:dyDescent="0.3">
      <c r="A178" s="4" t="s">
        <v>361</v>
      </c>
      <c r="B178" s="5" t="s">
        <v>362</v>
      </c>
    </row>
    <row r="179" spans="1:2" x14ac:dyDescent="0.3">
      <c r="A179" s="4" t="s">
        <v>363</v>
      </c>
      <c r="B179" s="5" t="s">
        <v>364</v>
      </c>
    </row>
    <row r="180" spans="1:2" x14ac:dyDescent="0.3">
      <c r="A180" s="4" t="s">
        <v>365</v>
      </c>
      <c r="B180" s="5" t="s">
        <v>366</v>
      </c>
    </row>
    <row r="181" spans="1:2" x14ac:dyDescent="0.3">
      <c r="A181" s="4" t="s">
        <v>367</v>
      </c>
      <c r="B181" s="5" t="s">
        <v>368</v>
      </c>
    </row>
    <row r="182" spans="1:2" x14ac:dyDescent="0.3">
      <c r="A182" s="4" t="s">
        <v>369</v>
      </c>
      <c r="B182" s="5" t="s">
        <v>370</v>
      </c>
    </row>
    <row r="183" spans="1:2" x14ac:dyDescent="0.3">
      <c r="A183" s="4" t="s">
        <v>371</v>
      </c>
      <c r="B183" s="5" t="s">
        <v>372</v>
      </c>
    </row>
    <row r="184" spans="1:2" x14ac:dyDescent="0.3">
      <c r="A184" s="4" t="s">
        <v>373</v>
      </c>
      <c r="B184" s="5" t="s">
        <v>374</v>
      </c>
    </row>
    <row r="185" spans="1:2" x14ac:dyDescent="0.3">
      <c r="A185" s="4" t="s">
        <v>375</v>
      </c>
      <c r="B185" s="5" t="s">
        <v>376</v>
      </c>
    </row>
    <row r="186" spans="1:2" x14ac:dyDescent="0.3">
      <c r="A186" s="4" t="s">
        <v>377</v>
      </c>
      <c r="B186" s="5" t="s">
        <v>378</v>
      </c>
    </row>
    <row r="187" spans="1:2" x14ac:dyDescent="0.3">
      <c r="A187" s="4" t="s">
        <v>379</v>
      </c>
      <c r="B187" s="5" t="s">
        <v>380</v>
      </c>
    </row>
    <row r="188" spans="1:2" x14ac:dyDescent="0.3">
      <c r="A188" s="4" t="s">
        <v>381</v>
      </c>
      <c r="B188" s="5" t="s">
        <v>382</v>
      </c>
    </row>
    <row r="189" spans="1:2" x14ac:dyDescent="0.3">
      <c r="A189" s="4" t="s">
        <v>383</v>
      </c>
      <c r="B189" s="5" t="s">
        <v>384</v>
      </c>
    </row>
    <row r="190" spans="1:2" x14ac:dyDescent="0.3">
      <c r="A190" s="4" t="s">
        <v>385</v>
      </c>
      <c r="B190" s="5" t="s">
        <v>386</v>
      </c>
    </row>
    <row r="191" spans="1:2" x14ac:dyDescent="0.3">
      <c r="A191" s="4" t="s">
        <v>387</v>
      </c>
      <c r="B191" s="5" t="s">
        <v>388</v>
      </c>
    </row>
    <row r="192" spans="1:2" x14ac:dyDescent="0.3">
      <c r="A192" s="4" t="s">
        <v>389</v>
      </c>
      <c r="B192" s="5" t="s">
        <v>390</v>
      </c>
    </row>
    <row r="193" spans="1:2" x14ac:dyDescent="0.3">
      <c r="A193" s="4" t="s">
        <v>391</v>
      </c>
      <c r="B193" s="5" t="s">
        <v>392</v>
      </c>
    </row>
    <row r="194" spans="1:2" x14ac:dyDescent="0.3">
      <c r="A194" s="4" t="s">
        <v>393</v>
      </c>
      <c r="B194" s="5" t="s">
        <v>394</v>
      </c>
    </row>
    <row r="195" spans="1:2" x14ac:dyDescent="0.3">
      <c r="A195" s="4" t="s">
        <v>395</v>
      </c>
      <c r="B195" s="5" t="s">
        <v>396</v>
      </c>
    </row>
    <row r="196" spans="1:2" x14ac:dyDescent="0.3">
      <c r="A196" s="4" t="s">
        <v>397</v>
      </c>
      <c r="B196" s="5" t="s">
        <v>398</v>
      </c>
    </row>
    <row r="197" spans="1:2" x14ac:dyDescent="0.3">
      <c r="A197" s="4" t="s">
        <v>399</v>
      </c>
      <c r="B197" s="5" t="s">
        <v>400</v>
      </c>
    </row>
    <row r="198" spans="1:2" x14ac:dyDescent="0.3">
      <c r="A198" s="4" t="s">
        <v>401</v>
      </c>
      <c r="B198" s="5" t="s">
        <v>402</v>
      </c>
    </row>
    <row r="199" spans="1:2" x14ac:dyDescent="0.3">
      <c r="A199" s="4" t="s">
        <v>403</v>
      </c>
      <c r="B199" s="5" t="s">
        <v>404</v>
      </c>
    </row>
    <row r="200" spans="1:2" x14ac:dyDescent="0.3">
      <c r="A200" s="4" t="s">
        <v>405</v>
      </c>
      <c r="B200" s="5" t="s">
        <v>406</v>
      </c>
    </row>
    <row r="201" spans="1:2" x14ac:dyDescent="0.3">
      <c r="A201" s="4" t="s">
        <v>407</v>
      </c>
      <c r="B201" s="5" t="s">
        <v>408</v>
      </c>
    </row>
    <row r="202" spans="1:2" x14ac:dyDescent="0.3">
      <c r="A202" s="4" t="s">
        <v>409</v>
      </c>
      <c r="B202" s="5" t="s">
        <v>410</v>
      </c>
    </row>
    <row r="203" spans="1:2" x14ac:dyDescent="0.3">
      <c r="A203" s="4" t="s">
        <v>411</v>
      </c>
      <c r="B203" s="5" t="s">
        <v>412</v>
      </c>
    </row>
    <row r="204" spans="1:2" x14ac:dyDescent="0.3">
      <c r="A204" s="4" t="s">
        <v>413</v>
      </c>
      <c r="B204" s="5" t="s">
        <v>414</v>
      </c>
    </row>
    <row r="205" spans="1:2" x14ac:dyDescent="0.3">
      <c r="A205" s="4" t="s">
        <v>415</v>
      </c>
      <c r="B205" s="5" t="s">
        <v>416</v>
      </c>
    </row>
    <row r="206" spans="1:2" x14ac:dyDescent="0.3">
      <c r="A206" s="4" t="s">
        <v>417</v>
      </c>
      <c r="B206" s="5" t="s">
        <v>418</v>
      </c>
    </row>
    <row r="207" spans="1:2" x14ac:dyDescent="0.3">
      <c r="A207" s="4" t="s">
        <v>419</v>
      </c>
      <c r="B207" s="5" t="s">
        <v>420</v>
      </c>
    </row>
    <row r="208" spans="1:2" x14ac:dyDescent="0.3">
      <c r="A208" s="4" t="s">
        <v>421</v>
      </c>
      <c r="B208" s="5" t="s">
        <v>422</v>
      </c>
    </row>
    <row r="209" spans="1:2" x14ac:dyDescent="0.3">
      <c r="A209" s="4" t="s">
        <v>423</v>
      </c>
      <c r="B209" s="5" t="s">
        <v>424</v>
      </c>
    </row>
    <row r="210" spans="1:2" x14ac:dyDescent="0.3">
      <c r="A210" s="4" t="s">
        <v>425</v>
      </c>
      <c r="B210" s="5" t="s">
        <v>426</v>
      </c>
    </row>
    <row r="211" spans="1:2" x14ac:dyDescent="0.3">
      <c r="A211" s="4" t="s">
        <v>427</v>
      </c>
      <c r="B211" s="5" t="s">
        <v>428</v>
      </c>
    </row>
    <row r="212" spans="1:2" x14ac:dyDescent="0.3">
      <c r="A212" s="4" t="s">
        <v>429</v>
      </c>
      <c r="B212" s="5" t="s">
        <v>430</v>
      </c>
    </row>
    <row r="213" spans="1:2" x14ac:dyDescent="0.3">
      <c r="A213" s="4" t="s">
        <v>431</v>
      </c>
      <c r="B213" s="5" t="s">
        <v>432</v>
      </c>
    </row>
    <row r="214" spans="1:2" x14ac:dyDescent="0.3">
      <c r="A214" s="4" t="s">
        <v>433</v>
      </c>
      <c r="B214" s="5" t="s">
        <v>434</v>
      </c>
    </row>
    <row r="215" spans="1:2" x14ac:dyDescent="0.3">
      <c r="A215" s="4" t="s">
        <v>435</v>
      </c>
      <c r="B215" s="5" t="s">
        <v>436</v>
      </c>
    </row>
    <row r="216" spans="1:2" x14ac:dyDescent="0.3">
      <c r="A216" s="4" t="s">
        <v>437</v>
      </c>
      <c r="B216" s="5" t="s">
        <v>438</v>
      </c>
    </row>
    <row r="217" spans="1:2" x14ac:dyDescent="0.3">
      <c r="A217" s="4" t="s">
        <v>439</v>
      </c>
      <c r="B217" s="5" t="s">
        <v>440</v>
      </c>
    </row>
    <row r="218" spans="1:2" x14ac:dyDescent="0.3">
      <c r="A218" s="4" t="s">
        <v>441</v>
      </c>
      <c r="B218" s="5" t="s">
        <v>442</v>
      </c>
    </row>
    <row r="219" spans="1:2" x14ac:dyDescent="0.3">
      <c r="A219" s="4" t="s">
        <v>443</v>
      </c>
      <c r="B219" s="5" t="s">
        <v>444</v>
      </c>
    </row>
    <row r="220" spans="1:2" x14ac:dyDescent="0.3">
      <c r="A220" s="4" t="s">
        <v>445</v>
      </c>
      <c r="B220" s="5" t="s">
        <v>446</v>
      </c>
    </row>
    <row r="221" spans="1:2" x14ac:dyDescent="0.3">
      <c r="A221" s="4" t="s">
        <v>447</v>
      </c>
      <c r="B221" s="5" t="s">
        <v>448</v>
      </c>
    </row>
    <row r="222" spans="1:2" x14ac:dyDescent="0.3">
      <c r="A222" s="4" t="s">
        <v>449</v>
      </c>
      <c r="B222" s="5" t="s">
        <v>450</v>
      </c>
    </row>
    <row r="223" spans="1:2" x14ac:dyDescent="0.3">
      <c r="A223" s="4" t="s">
        <v>451</v>
      </c>
      <c r="B223" s="5" t="s">
        <v>452</v>
      </c>
    </row>
    <row r="224" spans="1:2" x14ac:dyDescent="0.3">
      <c r="A224" s="4" t="s">
        <v>453</v>
      </c>
      <c r="B224" s="5" t="s">
        <v>454</v>
      </c>
    </row>
    <row r="225" spans="1:2" x14ac:dyDescent="0.3">
      <c r="A225" s="4" t="s">
        <v>455</v>
      </c>
      <c r="B225" s="5" t="s">
        <v>456</v>
      </c>
    </row>
    <row r="226" spans="1:2" x14ac:dyDescent="0.3">
      <c r="A226" s="4" t="s">
        <v>457</v>
      </c>
      <c r="B226" s="5" t="s">
        <v>458</v>
      </c>
    </row>
    <row r="227" spans="1:2" x14ac:dyDescent="0.3">
      <c r="A227" s="4" t="s">
        <v>459</v>
      </c>
      <c r="B227" s="5" t="s">
        <v>460</v>
      </c>
    </row>
    <row r="228" spans="1:2" x14ac:dyDescent="0.3">
      <c r="A228" s="4" t="s">
        <v>461</v>
      </c>
      <c r="B228" s="5" t="s">
        <v>462</v>
      </c>
    </row>
    <row r="229" spans="1:2" x14ac:dyDescent="0.3">
      <c r="A229" s="4" t="s">
        <v>463</v>
      </c>
      <c r="B229" s="5" t="s">
        <v>464</v>
      </c>
    </row>
    <row r="230" spans="1:2" x14ac:dyDescent="0.3">
      <c r="A230" s="4" t="s">
        <v>465</v>
      </c>
      <c r="B230" s="5" t="s">
        <v>466</v>
      </c>
    </row>
    <row r="231" spans="1:2" x14ac:dyDescent="0.3">
      <c r="A231" s="4" t="s">
        <v>467</v>
      </c>
      <c r="B231" s="5" t="s">
        <v>468</v>
      </c>
    </row>
    <row r="232" spans="1:2" x14ac:dyDescent="0.3">
      <c r="A232" s="4" t="s">
        <v>469</v>
      </c>
      <c r="B232" s="5" t="s">
        <v>470</v>
      </c>
    </row>
    <row r="233" spans="1:2" x14ac:dyDescent="0.3">
      <c r="A233" s="4" t="s">
        <v>471</v>
      </c>
      <c r="B233" s="5" t="s">
        <v>472</v>
      </c>
    </row>
    <row r="234" spans="1:2" x14ac:dyDescent="0.3">
      <c r="A234" s="4" t="s">
        <v>473</v>
      </c>
      <c r="B234" s="5" t="s">
        <v>474</v>
      </c>
    </row>
    <row r="235" spans="1:2" x14ac:dyDescent="0.3">
      <c r="A235" s="4" t="s">
        <v>475</v>
      </c>
      <c r="B235" s="5" t="s">
        <v>476</v>
      </c>
    </row>
    <row r="236" spans="1:2" x14ac:dyDescent="0.3">
      <c r="A236" s="4" t="s">
        <v>477</v>
      </c>
      <c r="B236" s="5" t="s">
        <v>478</v>
      </c>
    </row>
    <row r="237" spans="1:2" x14ac:dyDescent="0.3">
      <c r="A237" s="4" t="s">
        <v>479</v>
      </c>
      <c r="B237" s="5" t="s">
        <v>480</v>
      </c>
    </row>
    <row r="238" spans="1:2" x14ac:dyDescent="0.3">
      <c r="A238" s="4" t="s">
        <v>481</v>
      </c>
      <c r="B238" s="5" t="s">
        <v>482</v>
      </c>
    </row>
    <row r="239" spans="1:2" x14ac:dyDescent="0.3">
      <c r="A239" s="4" t="s">
        <v>483</v>
      </c>
      <c r="B239" s="5" t="s">
        <v>484</v>
      </c>
    </row>
    <row r="240" spans="1:2" x14ac:dyDescent="0.3">
      <c r="A240" s="4" t="s">
        <v>485</v>
      </c>
      <c r="B240" s="5" t="s">
        <v>486</v>
      </c>
    </row>
    <row r="241" spans="1:2" x14ac:dyDescent="0.3">
      <c r="A241" s="4" t="s">
        <v>487</v>
      </c>
      <c r="B241" s="5" t="s">
        <v>488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M162"/>
  <sheetViews>
    <sheetView tabSelected="1" zoomScaleNormal="100" zoomScalePageLayoutView="55" workbookViewId="0">
      <selection activeCell="M5" sqref="M5"/>
    </sheetView>
  </sheetViews>
  <sheetFormatPr defaultColWidth="9.109375" defaultRowHeight="14.4" x14ac:dyDescent="0.3"/>
  <cols>
    <col min="1" max="1" width="4.33203125" style="56" customWidth="1"/>
    <col min="2" max="2" width="6.6640625" style="56" hidden="1" customWidth="1"/>
    <col min="3" max="3" width="20.88671875" style="56" customWidth="1"/>
    <col min="4" max="4" width="7.88671875" style="56" hidden="1" customWidth="1"/>
    <col min="5" max="5" width="18.5546875" style="56" customWidth="1"/>
    <col min="6" max="6" width="20" style="56" customWidth="1"/>
    <col min="7" max="7" width="30.21875" style="56" bestFit="1" customWidth="1"/>
    <col min="8" max="8" width="18.6640625" style="57" bestFit="1" customWidth="1"/>
    <col min="9" max="9" width="18.109375" style="57" bestFit="1" customWidth="1"/>
    <col min="10" max="10" width="15.44140625" style="57" bestFit="1" customWidth="1"/>
    <col min="11" max="11" width="18.109375" style="57" bestFit="1" customWidth="1"/>
    <col min="12" max="12" width="19.88671875" style="57" bestFit="1" customWidth="1"/>
    <col min="13" max="13" width="17.109375" style="56" bestFit="1" customWidth="1"/>
    <col min="14" max="14" width="28.5546875" style="56" bestFit="1" customWidth="1"/>
    <col min="15" max="15" width="9.109375" style="84"/>
    <col min="16" max="16" width="10.6640625" style="84" customWidth="1"/>
    <col min="17" max="39" width="9.109375" style="84"/>
    <col min="40" max="16384" width="9.109375" style="56"/>
  </cols>
  <sheetData>
    <row r="1" spans="1:17" s="84" customFormat="1" ht="35.25" customHeight="1" x14ac:dyDescent="0.3">
      <c r="C1" s="88"/>
      <c r="D1" s="88"/>
      <c r="E1" s="88"/>
      <c r="F1" s="88"/>
      <c r="G1" s="88"/>
      <c r="H1" s="88"/>
      <c r="I1" s="88"/>
      <c r="J1" s="88"/>
      <c r="K1" s="88"/>
      <c r="L1" s="88"/>
      <c r="M1" s="135" t="s">
        <v>712</v>
      </c>
      <c r="N1" s="135"/>
    </row>
    <row r="2" spans="1:17" s="84" customFormat="1" ht="36.75" customHeight="1" x14ac:dyDescent="0.3">
      <c r="A2" s="137" t="s">
        <v>633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</row>
    <row r="3" spans="1:17" s="84" customFormat="1" x14ac:dyDescent="0.3">
      <c r="F3" s="89" t="s">
        <v>581</v>
      </c>
      <c r="G3" s="141"/>
      <c r="H3" s="142"/>
      <c r="I3" s="142"/>
      <c r="J3" s="142"/>
      <c r="K3" s="143"/>
      <c r="L3" s="90"/>
      <c r="M3" s="91"/>
      <c r="N3" s="85"/>
      <c r="O3" s="85"/>
      <c r="P3" s="85"/>
      <c r="Q3" s="85"/>
    </row>
    <row r="4" spans="1:17" s="84" customFormat="1" x14ac:dyDescent="0.3">
      <c r="F4" s="89" t="s">
        <v>582</v>
      </c>
      <c r="G4" s="92" t="s">
        <v>583</v>
      </c>
      <c r="H4" s="93"/>
      <c r="I4" s="124" t="s">
        <v>584</v>
      </c>
      <c r="J4" s="125"/>
      <c r="K4" s="126"/>
      <c r="L4" s="90"/>
      <c r="M4" s="91"/>
      <c r="N4" s="85"/>
      <c r="O4" s="85"/>
      <c r="P4" s="85"/>
      <c r="Q4" s="85"/>
    </row>
    <row r="5" spans="1:17" s="84" customFormat="1" x14ac:dyDescent="0.3">
      <c r="A5" s="94">
        <f>IF(G5="EU",-1,0)</f>
        <v>-1</v>
      </c>
      <c r="F5" s="95" t="s">
        <v>585</v>
      </c>
      <c r="G5" s="114" t="s">
        <v>516</v>
      </c>
      <c r="H5" s="96"/>
      <c r="I5" s="97" t="s">
        <v>586</v>
      </c>
      <c r="J5" s="116" t="s">
        <v>524</v>
      </c>
      <c r="K5" s="117"/>
      <c r="L5" s="90"/>
      <c r="M5" s="91"/>
      <c r="N5" s="85"/>
      <c r="O5" s="85"/>
      <c r="P5" s="85"/>
      <c r="Q5" s="85"/>
    </row>
    <row r="6" spans="1:17" s="84" customFormat="1" x14ac:dyDescent="0.3">
      <c r="F6" s="98" t="s">
        <v>587</v>
      </c>
      <c r="G6" s="99" t="s">
        <v>0</v>
      </c>
      <c r="H6" s="100" t="s">
        <v>588</v>
      </c>
      <c r="I6" s="100" t="s">
        <v>494</v>
      </c>
      <c r="J6" s="99" t="s">
        <v>589</v>
      </c>
      <c r="K6" s="99" t="s">
        <v>598</v>
      </c>
      <c r="L6" s="101"/>
      <c r="M6" s="85"/>
      <c r="N6" s="85"/>
      <c r="O6" s="85"/>
      <c r="P6" s="85"/>
      <c r="Q6" s="85"/>
    </row>
    <row r="7" spans="1:17" s="84" customFormat="1" x14ac:dyDescent="0.3">
      <c r="F7" s="98" t="s">
        <v>590</v>
      </c>
      <c r="G7" s="100" t="s">
        <v>591</v>
      </c>
      <c r="H7" s="100" t="s">
        <v>592</v>
      </c>
      <c r="I7" s="100" t="s">
        <v>593</v>
      </c>
      <c r="J7" s="100" t="s">
        <v>498</v>
      </c>
      <c r="K7" s="100" t="s">
        <v>496</v>
      </c>
      <c r="L7" s="101"/>
      <c r="M7" s="85"/>
      <c r="N7" s="85"/>
      <c r="O7" s="85"/>
      <c r="P7" s="85"/>
      <c r="Q7" s="85"/>
    </row>
    <row r="8" spans="1:17" s="84" customFormat="1" x14ac:dyDescent="0.3">
      <c r="H8" s="102"/>
      <c r="I8" s="102"/>
      <c r="J8" s="101"/>
      <c r="K8" s="101"/>
      <c r="L8" s="101"/>
      <c r="M8" s="85"/>
      <c r="N8" s="85"/>
      <c r="O8" s="85"/>
      <c r="P8" s="85"/>
      <c r="Q8" s="85"/>
    </row>
    <row r="9" spans="1:17" ht="25.5" customHeight="1" x14ac:dyDescent="0.3">
      <c r="A9" s="58" t="s">
        <v>1</v>
      </c>
      <c r="B9" s="134" t="s">
        <v>594</v>
      </c>
      <c r="C9" s="134"/>
      <c r="D9" s="134"/>
      <c r="E9" s="134"/>
      <c r="F9" s="134"/>
      <c r="G9" s="59" t="s">
        <v>595</v>
      </c>
      <c r="H9" s="132" t="s">
        <v>627</v>
      </c>
      <c r="I9" s="133"/>
      <c r="J9" s="132" t="s">
        <v>629</v>
      </c>
      <c r="K9" s="133"/>
      <c r="L9" s="59" t="s">
        <v>631</v>
      </c>
      <c r="M9" s="59" t="s">
        <v>613</v>
      </c>
      <c r="N9" s="59" t="s">
        <v>615</v>
      </c>
    </row>
    <row r="10" spans="1:17" ht="20.100000000000001" hidden="1" customHeight="1" x14ac:dyDescent="0.3">
      <c r="A10" s="118">
        <f>SUM('Master Data'!S1)</f>
        <v>0</v>
      </c>
      <c r="B10" s="29"/>
      <c r="C10" s="81"/>
      <c r="D10" s="82"/>
      <c r="E10" s="82"/>
      <c r="F10" s="82"/>
      <c r="G10" s="82"/>
      <c r="H10" s="82"/>
      <c r="I10" s="103" t="s">
        <v>0</v>
      </c>
      <c r="J10" s="82"/>
      <c r="K10" s="82"/>
      <c r="L10" s="82"/>
      <c r="M10" s="82"/>
      <c r="N10" s="83"/>
    </row>
    <row r="11" spans="1:17" ht="20.100000000000001" hidden="1" customHeight="1" x14ac:dyDescent="0.3">
      <c r="A11" s="118"/>
      <c r="B11" s="28"/>
      <c r="C11" s="60" t="s">
        <v>7</v>
      </c>
      <c r="D11" s="61"/>
      <c r="E11" s="60" t="s">
        <v>8</v>
      </c>
      <c r="F11" s="58" t="s">
        <v>596</v>
      </c>
      <c r="G11" s="62" t="s">
        <v>597</v>
      </c>
      <c r="H11" s="62" t="s">
        <v>624</v>
      </c>
      <c r="I11" s="104" t="s">
        <v>628</v>
      </c>
      <c r="J11" s="62" t="s">
        <v>625</v>
      </c>
      <c r="K11" s="62" t="s">
        <v>630</v>
      </c>
      <c r="L11" s="62" t="s">
        <v>626</v>
      </c>
      <c r="M11" s="38" t="s">
        <v>616</v>
      </c>
      <c r="N11" s="38" t="s">
        <v>619</v>
      </c>
    </row>
    <row r="12" spans="1:17" ht="20.100000000000001" hidden="1" customHeight="1" x14ac:dyDescent="0.3">
      <c r="A12" s="118"/>
      <c r="B12" s="55">
        <f>VLOOKUP(C12,'[1]Master Data'!$H$2:$I$6,2,0)</f>
        <v>1</v>
      </c>
      <c r="C12" s="55" t="s">
        <v>3</v>
      </c>
      <c r="D12" s="55">
        <f>VLOOKUP(E12,'Master Data'!$L$2:$M$7,2,0)</f>
        <v>1</v>
      </c>
      <c r="E12" s="55" t="s">
        <v>575</v>
      </c>
      <c r="F12" s="55">
        <v>100</v>
      </c>
      <c r="G12" s="37" t="s">
        <v>708</v>
      </c>
      <c r="H12" s="52"/>
      <c r="I12" s="105" t="str">
        <f>IF(OR(H12="NA",H12="" ),"NA",IF(H12&lt;=20,5,IF(H12&lt;=40,4,IF(H12&lt;=60,3,IF(H12&lt;=80,2,1)))))</f>
        <v>NA</v>
      </c>
      <c r="J12" s="52"/>
      <c r="K12" s="105" t="str">
        <f t="shared" ref="K12:K30" si="0">IF(OR(J12="NA",J12="" ),"NA",IF(J12&lt;=50,5,IF(J12&lt;=60,4,IF(J12&lt;=70,3,IF(J12&lt;=80,2,1)))))</f>
        <v>NA</v>
      </c>
      <c r="L12" s="105" t="str">
        <f>IFERROR(IF(AND(H12&lt;&gt;"NA",J12&lt;&gt;"NA"),I12*K12,"NA"),"NA")</f>
        <v>NA</v>
      </c>
      <c r="M12" s="136"/>
      <c r="N12" s="115"/>
    </row>
    <row r="13" spans="1:17" ht="20.100000000000001" hidden="1" customHeight="1" x14ac:dyDescent="0.3">
      <c r="A13" s="118"/>
      <c r="B13" s="36"/>
      <c r="C13" s="60" t="s">
        <v>599</v>
      </c>
      <c r="D13" s="30"/>
      <c r="E13" s="66" t="s">
        <v>600</v>
      </c>
      <c r="F13" s="66" t="s">
        <v>601</v>
      </c>
      <c r="G13" s="37" t="s">
        <v>709</v>
      </c>
      <c r="H13" s="52"/>
      <c r="I13" s="105" t="str">
        <f t="shared" ref="I13:I30" si="1">IF(OR(H13="NA",H13="" ),"NA",IF(H13&lt;=20,5,IF(H13&lt;=40,4,IF(H13&lt;=60,3,IF(H13&lt;=80,2,1)))))</f>
        <v>NA</v>
      </c>
      <c r="J13" s="52"/>
      <c r="K13" s="105" t="str">
        <f t="shared" si="0"/>
        <v>NA</v>
      </c>
      <c r="L13" s="105" t="str">
        <f t="shared" ref="L13:L21" si="2">IFERROR(IF(AND(H13&lt;&gt;"NA",J13&lt;&gt;"NA"),I13*K13,"NA"),"NA")</f>
        <v>NA</v>
      </c>
      <c r="M13" s="136"/>
      <c r="N13" s="115"/>
    </row>
    <row r="14" spans="1:17" ht="20.100000000000001" hidden="1" customHeight="1" x14ac:dyDescent="0.3">
      <c r="A14" s="118"/>
      <c r="B14" s="55">
        <v>0</v>
      </c>
      <c r="C14" s="67">
        <v>1</v>
      </c>
      <c r="D14" s="30"/>
      <c r="E14" s="55">
        <v>0.5</v>
      </c>
      <c r="F14" s="68">
        <f>ROUND(F12/$E$14,2)</f>
        <v>200</v>
      </c>
      <c r="G14" s="37" t="s">
        <v>710</v>
      </c>
      <c r="H14" s="52"/>
      <c r="I14" s="105" t="str">
        <f t="shared" si="1"/>
        <v>NA</v>
      </c>
      <c r="J14" s="52"/>
      <c r="K14" s="105" t="str">
        <f t="shared" si="0"/>
        <v>NA</v>
      </c>
      <c r="L14" s="105" t="str">
        <f t="shared" si="2"/>
        <v>NA</v>
      </c>
      <c r="M14" s="136"/>
      <c r="N14" s="115"/>
    </row>
    <row r="15" spans="1:17" ht="20.100000000000001" hidden="1" customHeight="1" x14ac:dyDescent="0.3">
      <c r="A15" s="118"/>
      <c r="B15" s="36"/>
      <c r="C15" s="119" t="s">
        <v>639</v>
      </c>
      <c r="D15" s="120"/>
      <c r="E15" s="120"/>
      <c r="F15" s="131"/>
      <c r="G15" s="37" t="s">
        <v>598</v>
      </c>
      <c r="H15" s="47" t="s">
        <v>598</v>
      </c>
      <c r="I15" s="105" t="str">
        <f t="shared" si="1"/>
        <v>NA</v>
      </c>
      <c r="J15" s="47" t="s">
        <v>598</v>
      </c>
      <c r="K15" s="105" t="str">
        <f t="shared" si="0"/>
        <v>NA</v>
      </c>
      <c r="L15" s="105" t="str">
        <f t="shared" si="2"/>
        <v>NA</v>
      </c>
      <c r="M15" s="136"/>
      <c r="N15" s="115"/>
    </row>
    <row r="16" spans="1:17" ht="20.100000000000001" hidden="1" customHeight="1" x14ac:dyDescent="0.3">
      <c r="A16" s="118"/>
      <c r="B16" s="36"/>
      <c r="C16" s="138" t="s">
        <v>304</v>
      </c>
      <c r="D16" s="139"/>
      <c r="E16" s="139"/>
      <c r="F16" s="140"/>
      <c r="G16" s="37" t="s">
        <v>598</v>
      </c>
      <c r="H16" s="31" t="s">
        <v>598</v>
      </c>
      <c r="I16" s="105" t="str">
        <f t="shared" si="1"/>
        <v>NA</v>
      </c>
      <c r="J16" s="31" t="s">
        <v>598</v>
      </c>
      <c r="K16" s="105" t="str">
        <f t="shared" si="0"/>
        <v>NA</v>
      </c>
      <c r="L16" s="105" t="str">
        <f t="shared" si="2"/>
        <v>NA</v>
      </c>
      <c r="M16" s="136"/>
      <c r="N16" s="115"/>
      <c r="O16" s="86"/>
    </row>
    <row r="17" spans="1:14" ht="20.100000000000001" hidden="1" customHeight="1" x14ac:dyDescent="0.3">
      <c r="A17" s="118"/>
      <c r="B17" s="29"/>
      <c r="C17" s="69" t="s">
        <v>598</v>
      </c>
      <c r="D17" s="30"/>
      <c r="E17" s="69" t="s">
        <v>598</v>
      </c>
      <c r="F17" s="69" t="s">
        <v>598</v>
      </c>
      <c r="G17" s="37" t="s">
        <v>598</v>
      </c>
      <c r="H17" s="31" t="s">
        <v>598</v>
      </c>
      <c r="I17" s="105" t="str">
        <f t="shared" si="1"/>
        <v>NA</v>
      </c>
      <c r="J17" s="31" t="s">
        <v>598</v>
      </c>
      <c r="K17" s="105" t="str">
        <f t="shared" si="0"/>
        <v>NA</v>
      </c>
      <c r="L17" s="105" t="str">
        <f t="shared" si="2"/>
        <v>NA</v>
      </c>
      <c r="M17" s="136"/>
      <c r="N17" s="115"/>
    </row>
    <row r="18" spans="1:14" ht="20.100000000000001" hidden="1" customHeight="1" x14ac:dyDescent="0.3">
      <c r="A18" s="118"/>
      <c r="B18" s="29"/>
      <c r="C18" s="69" t="s">
        <v>598</v>
      </c>
      <c r="D18" s="29"/>
      <c r="E18" s="69" t="s">
        <v>598</v>
      </c>
      <c r="F18" s="69" t="s">
        <v>598</v>
      </c>
      <c r="G18" s="37" t="s">
        <v>598</v>
      </c>
      <c r="H18" s="31" t="s">
        <v>598</v>
      </c>
      <c r="I18" s="105" t="str">
        <f t="shared" si="1"/>
        <v>NA</v>
      </c>
      <c r="J18" s="31" t="s">
        <v>598</v>
      </c>
      <c r="K18" s="105" t="str">
        <f t="shared" si="0"/>
        <v>NA</v>
      </c>
      <c r="L18" s="105" t="str">
        <f t="shared" si="2"/>
        <v>NA</v>
      </c>
      <c r="M18" s="136"/>
      <c r="N18" s="115"/>
    </row>
    <row r="19" spans="1:14" ht="20.100000000000001" hidden="1" customHeight="1" x14ac:dyDescent="0.3">
      <c r="A19" s="118"/>
      <c r="B19" s="29"/>
      <c r="C19" s="69" t="s">
        <v>598</v>
      </c>
      <c r="D19" s="29"/>
      <c r="E19" s="69" t="s">
        <v>598</v>
      </c>
      <c r="F19" s="69" t="s">
        <v>598</v>
      </c>
      <c r="G19" s="37" t="s">
        <v>598</v>
      </c>
      <c r="H19" s="31" t="s">
        <v>598</v>
      </c>
      <c r="I19" s="105" t="str">
        <f t="shared" si="1"/>
        <v>NA</v>
      </c>
      <c r="J19" s="31" t="s">
        <v>598</v>
      </c>
      <c r="K19" s="105" t="str">
        <f t="shared" si="0"/>
        <v>NA</v>
      </c>
      <c r="L19" s="105" t="str">
        <f t="shared" si="2"/>
        <v>NA</v>
      </c>
      <c r="M19" s="136"/>
      <c r="N19" s="115"/>
    </row>
    <row r="20" spans="1:14" ht="20.100000000000001" hidden="1" customHeight="1" x14ac:dyDescent="0.3">
      <c r="A20" s="118"/>
      <c r="B20" s="29"/>
      <c r="C20" s="69" t="s">
        <v>598</v>
      </c>
      <c r="D20" s="29"/>
      <c r="E20" s="69" t="s">
        <v>598</v>
      </c>
      <c r="F20" s="69" t="s">
        <v>598</v>
      </c>
      <c r="G20" s="37" t="s">
        <v>598</v>
      </c>
      <c r="H20" s="31" t="s">
        <v>598</v>
      </c>
      <c r="I20" s="105" t="str">
        <f t="shared" si="1"/>
        <v>NA</v>
      </c>
      <c r="J20" s="31" t="s">
        <v>598</v>
      </c>
      <c r="K20" s="105" t="str">
        <f t="shared" si="0"/>
        <v>NA</v>
      </c>
      <c r="L20" s="105" t="str">
        <f t="shared" si="2"/>
        <v>NA</v>
      </c>
      <c r="M20" s="136"/>
      <c r="N20" s="115"/>
    </row>
    <row r="21" spans="1:14" ht="20.100000000000001" hidden="1" customHeight="1" x14ac:dyDescent="0.3">
      <c r="A21" s="118"/>
      <c r="B21" s="29"/>
      <c r="C21" s="69" t="s">
        <v>598</v>
      </c>
      <c r="D21" s="29"/>
      <c r="E21" s="69" t="s">
        <v>598</v>
      </c>
      <c r="F21" s="69" t="s">
        <v>598</v>
      </c>
      <c r="G21" s="37" t="s">
        <v>598</v>
      </c>
      <c r="H21" s="31" t="s">
        <v>598</v>
      </c>
      <c r="I21" s="105" t="str">
        <f t="shared" si="1"/>
        <v>NA</v>
      </c>
      <c r="J21" s="31" t="s">
        <v>598</v>
      </c>
      <c r="K21" s="105" t="str">
        <f t="shared" si="0"/>
        <v>NA</v>
      </c>
      <c r="L21" s="105" t="str">
        <f t="shared" si="2"/>
        <v>NA</v>
      </c>
      <c r="M21" s="136"/>
      <c r="N21" s="115"/>
    </row>
    <row r="22" spans="1:14" ht="20.100000000000001" hidden="1" customHeight="1" x14ac:dyDescent="0.3">
      <c r="A22" s="118"/>
      <c r="B22" s="29"/>
      <c r="C22" s="69" t="s">
        <v>598</v>
      </c>
      <c r="D22" s="29"/>
      <c r="E22" s="69" t="s">
        <v>598</v>
      </c>
      <c r="F22" s="69" t="s">
        <v>598</v>
      </c>
      <c r="G22" s="70" t="s">
        <v>598</v>
      </c>
      <c r="H22" s="44" t="s">
        <v>598</v>
      </c>
      <c r="I22" s="105" t="str">
        <f t="shared" si="1"/>
        <v>NA</v>
      </c>
      <c r="J22" s="44" t="s">
        <v>598</v>
      </c>
      <c r="K22" s="105" t="str">
        <f t="shared" si="0"/>
        <v>NA</v>
      </c>
      <c r="L22" s="105" t="str">
        <f>IFERROR(IF(AND(H22&lt;&gt;"NA",J22&lt;&gt;"NA"),I22*K22,"NA"),"NA")</f>
        <v>NA</v>
      </c>
      <c r="M22" s="115"/>
      <c r="N22" s="115"/>
    </row>
    <row r="23" spans="1:14" ht="20.100000000000001" hidden="1" customHeight="1" x14ac:dyDescent="0.3">
      <c r="A23" s="118"/>
      <c r="B23" s="29"/>
      <c r="C23" s="69" t="s">
        <v>598</v>
      </c>
      <c r="D23" s="29"/>
      <c r="E23" s="69" t="s">
        <v>598</v>
      </c>
      <c r="F23" s="69" t="s">
        <v>598</v>
      </c>
      <c r="G23" s="70" t="s">
        <v>598</v>
      </c>
      <c r="H23" s="44" t="s">
        <v>598</v>
      </c>
      <c r="I23" s="105" t="str">
        <f t="shared" si="1"/>
        <v>NA</v>
      </c>
      <c r="J23" s="44" t="s">
        <v>598</v>
      </c>
      <c r="K23" s="105" t="str">
        <f t="shared" si="0"/>
        <v>NA</v>
      </c>
      <c r="L23" s="105" t="str">
        <f t="shared" ref="L23:L30" si="3">IFERROR(IF(AND(H23&lt;&gt;"NA",J23&lt;&gt;"NA"),I23*K23,"NA"),"NA")</f>
        <v>NA</v>
      </c>
      <c r="M23" s="115"/>
      <c r="N23" s="115"/>
    </row>
    <row r="24" spans="1:14" ht="20.100000000000001" hidden="1" customHeight="1" x14ac:dyDescent="0.3">
      <c r="A24" s="118"/>
      <c r="B24" s="29"/>
      <c r="C24" s="69" t="s">
        <v>598</v>
      </c>
      <c r="D24" s="29"/>
      <c r="E24" s="69" t="s">
        <v>598</v>
      </c>
      <c r="F24" s="69" t="s">
        <v>598</v>
      </c>
      <c r="G24" s="65" t="str">
        <f t="shared" ref="G24:G30" si="4">IF(OR(F24="NA",F24="" ),"NA",IF(F24&lt;=20,5,IF(F24&lt;=40,4,IF(F24&lt;=60,3,IF(F24&lt;=80,2,1)))))</f>
        <v>NA</v>
      </c>
      <c r="H24" s="65" t="str">
        <f t="shared" ref="H24:H30" si="5">IF(OR(G24="NA",G24="" ),"NA",IF(G24&lt;=20,5,IF(G24&lt;=40,4,IF(G24&lt;=60,3,IF(G24&lt;=80,2,1)))))</f>
        <v>NA</v>
      </c>
      <c r="I24" s="105" t="str">
        <f t="shared" si="1"/>
        <v>NA</v>
      </c>
      <c r="J24" s="65" t="str">
        <f t="shared" ref="J24:J30" si="6">IF(OR(I24="NA",I24="" ),"NA",IF(I24&lt;=20,5,IF(I24&lt;=40,4,IF(I24&lt;=60,3,IF(I24&lt;=80,2,1)))))</f>
        <v>NA</v>
      </c>
      <c r="K24" s="105" t="str">
        <f t="shared" si="0"/>
        <v>NA</v>
      </c>
      <c r="L24" s="105" t="str">
        <f t="shared" si="3"/>
        <v>NA</v>
      </c>
      <c r="M24" s="115"/>
      <c r="N24" s="115"/>
    </row>
    <row r="25" spans="1:14" ht="20.100000000000001" hidden="1" customHeight="1" x14ac:dyDescent="0.3">
      <c r="A25" s="118"/>
      <c r="B25" s="29"/>
      <c r="C25" s="69" t="s">
        <v>598</v>
      </c>
      <c r="D25" s="29"/>
      <c r="E25" s="69" t="s">
        <v>598</v>
      </c>
      <c r="F25" s="69" t="s">
        <v>598</v>
      </c>
      <c r="G25" s="65" t="str">
        <f t="shared" si="4"/>
        <v>NA</v>
      </c>
      <c r="H25" s="65" t="str">
        <f t="shared" si="5"/>
        <v>NA</v>
      </c>
      <c r="I25" s="105" t="str">
        <f t="shared" si="1"/>
        <v>NA</v>
      </c>
      <c r="J25" s="65" t="str">
        <f t="shared" si="6"/>
        <v>NA</v>
      </c>
      <c r="K25" s="105" t="str">
        <f t="shared" si="0"/>
        <v>NA</v>
      </c>
      <c r="L25" s="105" t="str">
        <f t="shared" si="3"/>
        <v>NA</v>
      </c>
      <c r="M25" s="115"/>
      <c r="N25" s="115"/>
    </row>
    <row r="26" spans="1:14" ht="20.100000000000001" hidden="1" customHeight="1" x14ac:dyDescent="0.3">
      <c r="A26" s="118"/>
      <c r="B26" s="29"/>
      <c r="C26" s="69" t="s">
        <v>598</v>
      </c>
      <c r="D26" s="29"/>
      <c r="E26" s="69" t="s">
        <v>598</v>
      </c>
      <c r="F26" s="69" t="s">
        <v>598</v>
      </c>
      <c r="G26" s="65" t="str">
        <f t="shared" si="4"/>
        <v>NA</v>
      </c>
      <c r="H26" s="65" t="str">
        <f t="shared" si="5"/>
        <v>NA</v>
      </c>
      <c r="I26" s="105" t="str">
        <f t="shared" si="1"/>
        <v>NA</v>
      </c>
      <c r="J26" s="65" t="str">
        <f t="shared" si="6"/>
        <v>NA</v>
      </c>
      <c r="K26" s="105" t="str">
        <f t="shared" si="0"/>
        <v>NA</v>
      </c>
      <c r="L26" s="105" t="str">
        <f t="shared" si="3"/>
        <v>NA</v>
      </c>
      <c r="M26" s="115"/>
      <c r="N26" s="115"/>
    </row>
    <row r="27" spans="1:14" ht="20.100000000000001" hidden="1" customHeight="1" x14ac:dyDescent="0.3">
      <c r="A27" s="118"/>
      <c r="B27" s="29"/>
      <c r="C27" s="69" t="s">
        <v>598</v>
      </c>
      <c r="D27" s="29"/>
      <c r="E27" s="69" t="s">
        <v>598</v>
      </c>
      <c r="F27" s="69" t="s">
        <v>598</v>
      </c>
      <c r="G27" s="65" t="str">
        <f t="shared" si="4"/>
        <v>NA</v>
      </c>
      <c r="H27" s="65" t="str">
        <f t="shared" si="5"/>
        <v>NA</v>
      </c>
      <c r="I27" s="105" t="str">
        <f t="shared" si="1"/>
        <v>NA</v>
      </c>
      <c r="J27" s="65" t="str">
        <f t="shared" si="6"/>
        <v>NA</v>
      </c>
      <c r="K27" s="105" t="str">
        <f t="shared" si="0"/>
        <v>NA</v>
      </c>
      <c r="L27" s="105" t="str">
        <f t="shared" si="3"/>
        <v>NA</v>
      </c>
      <c r="M27" s="115"/>
      <c r="N27" s="115"/>
    </row>
    <row r="28" spans="1:14" ht="20.100000000000001" hidden="1" customHeight="1" x14ac:dyDescent="0.3">
      <c r="A28" s="118"/>
      <c r="B28" s="29"/>
      <c r="C28" s="69" t="s">
        <v>598</v>
      </c>
      <c r="D28" s="29"/>
      <c r="E28" s="69" t="s">
        <v>598</v>
      </c>
      <c r="F28" s="69" t="s">
        <v>598</v>
      </c>
      <c r="G28" s="65" t="str">
        <f t="shared" si="4"/>
        <v>NA</v>
      </c>
      <c r="H28" s="65" t="str">
        <f t="shared" si="5"/>
        <v>NA</v>
      </c>
      <c r="I28" s="105" t="str">
        <f t="shared" si="1"/>
        <v>NA</v>
      </c>
      <c r="J28" s="65" t="str">
        <f t="shared" si="6"/>
        <v>NA</v>
      </c>
      <c r="K28" s="105" t="str">
        <f t="shared" si="0"/>
        <v>NA</v>
      </c>
      <c r="L28" s="105" t="str">
        <f t="shared" si="3"/>
        <v>NA</v>
      </c>
      <c r="M28" s="115"/>
      <c r="N28" s="115"/>
    </row>
    <row r="29" spans="1:14" ht="20.100000000000001" hidden="1" customHeight="1" x14ac:dyDescent="0.3">
      <c r="A29" s="118"/>
      <c r="B29" s="29"/>
      <c r="C29" s="69" t="s">
        <v>598</v>
      </c>
      <c r="D29" s="29"/>
      <c r="E29" s="69" t="s">
        <v>598</v>
      </c>
      <c r="F29" s="69" t="s">
        <v>598</v>
      </c>
      <c r="G29" s="65" t="str">
        <f t="shared" si="4"/>
        <v>NA</v>
      </c>
      <c r="H29" s="65" t="str">
        <f t="shared" si="5"/>
        <v>NA</v>
      </c>
      <c r="I29" s="105" t="str">
        <f t="shared" si="1"/>
        <v>NA</v>
      </c>
      <c r="J29" s="65" t="str">
        <f t="shared" si="6"/>
        <v>NA</v>
      </c>
      <c r="K29" s="105" t="str">
        <f t="shared" si="0"/>
        <v>NA</v>
      </c>
      <c r="L29" s="105" t="str">
        <f t="shared" si="3"/>
        <v>NA</v>
      </c>
      <c r="M29" s="115"/>
      <c r="N29" s="115"/>
    </row>
    <row r="30" spans="1:14" ht="20.100000000000001" hidden="1" customHeight="1" x14ac:dyDescent="0.3">
      <c r="A30" s="118"/>
      <c r="B30" s="29"/>
      <c r="C30" s="69" t="s">
        <v>598</v>
      </c>
      <c r="D30" s="29"/>
      <c r="E30" s="69" t="s">
        <v>598</v>
      </c>
      <c r="F30" s="69" t="s">
        <v>598</v>
      </c>
      <c r="G30" s="65" t="str">
        <f t="shared" si="4"/>
        <v>NA</v>
      </c>
      <c r="H30" s="65" t="str">
        <f t="shared" si="5"/>
        <v>NA</v>
      </c>
      <c r="I30" s="105" t="str">
        <f t="shared" si="1"/>
        <v>NA</v>
      </c>
      <c r="J30" s="65" t="str">
        <f t="shared" si="6"/>
        <v>NA</v>
      </c>
      <c r="K30" s="105" t="str">
        <f t="shared" si="0"/>
        <v>NA</v>
      </c>
      <c r="L30" s="105" t="str">
        <f t="shared" si="3"/>
        <v>NA</v>
      </c>
      <c r="M30" s="115"/>
      <c r="N30" s="115"/>
    </row>
    <row r="31" spans="1:14" ht="20.100000000000001" hidden="1" customHeight="1" x14ac:dyDescent="0.3">
      <c r="A31" s="118">
        <f>SUM('Master Data'!S1:T1)</f>
        <v>0</v>
      </c>
      <c r="B31" s="29"/>
      <c r="C31" s="81"/>
      <c r="D31" s="82"/>
      <c r="E31" s="82"/>
      <c r="F31" s="82"/>
      <c r="G31" s="82"/>
      <c r="H31" s="82"/>
      <c r="I31" s="103" t="s">
        <v>493</v>
      </c>
      <c r="J31" s="82"/>
      <c r="K31" s="103"/>
      <c r="L31" s="103"/>
      <c r="M31" s="82"/>
      <c r="N31" s="83"/>
    </row>
    <row r="32" spans="1:14" ht="20.100000000000001" hidden="1" customHeight="1" x14ac:dyDescent="0.3">
      <c r="A32" s="118"/>
      <c r="B32" s="29"/>
      <c r="C32" s="60" t="s">
        <v>499</v>
      </c>
      <c r="D32" s="59"/>
      <c r="E32" s="60" t="s">
        <v>8</v>
      </c>
      <c r="F32" s="60" t="s">
        <v>602</v>
      </c>
      <c r="G32" s="62" t="s">
        <v>597</v>
      </c>
      <c r="H32" s="62" t="s">
        <v>624</v>
      </c>
      <c r="I32" s="104" t="s">
        <v>628</v>
      </c>
      <c r="J32" s="62" t="s">
        <v>625</v>
      </c>
      <c r="K32" s="104" t="s">
        <v>630</v>
      </c>
      <c r="L32" s="104" t="s">
        <v>626</v>
      </c>
      <c r="M32" s="38" t="s">
        <v>617</v>
      </c>
      <c r="N32" s="62" t="s">
        <v>597</v>
      </c>
    </row>
    <row r="33" spans="1:14" ht="20.100000000000001" hidden="1" customHeight="1" x14ac:dyDescent="0.3">
      <c r="A33" s="118"/>
      <c r="B33" s="55">
        <f>VLOOKUP(C33,'[1]Master Data'!$H$20:$I$21,2,0)</f>
        <v>1</v>
      </c>
      <c r="C33" s="55" t="s">
        <v>501</v>
      </c>
      <c r="D33" s="55">
        <f>VLOOKUP(E33,'Master Data'!$L$2:$M$7,2,0)</f>
        <v>5</v>
      </c>
      <c r="E33" s="55" t="s">
        <v>666</v>
      </c>
      <c r="F33" s="55" t="s">
        <v>503</v>
      </c>
      <c r="G33" s="63" t="s">
        <v>598</v>
      </c>
      <c r="H33" s="68" t="s">
        <v>598</v>
      </c>
      <c r="I33" s="105" t="str">
        <f>IF(OR(H33="NA",H33="" ),"NA",IF(H33&lt;=20,5,IF(H33&lt;=40,4,IF(H33&lt;=60,3,IF(H33&lt;=80,2,1)))))</f>
        <v>NA</v>
      </c>
      <c r="J33" s="68" t="s">
        <v>598</v>
      </c>
      <c r="K33" s="105" t="str">
        <f>IF(OR(J33="NA",J33="" ),"NA",IF(J33&lt;=50,5,IF(J33&lt;=60,4,IF(J33&lt;=70,3,IF(J33&lt;=80,2,1)))))</f>
        <v>NA</v>
      </c>
      <c r="L33" s="105" t="str">
        <f t="shared" ref="L33" si="7">IFERROR(IF(AND(H33&lt;&gt;"NA",J33&lt;&gt;"NA"),I33*K33,"NA"),"NA")</f>
        <v>NA</v>
      </c>
      <c r="M33" s="136"/>
      <c r="N33" s="115"/>
    </row>
    <row r="34" spans="1:14" ht="20.100000000000001" hidden="1" customHeight="1" x14ac:dyDescent="0.3">
      <c r="A34" s="118"/>
      <c r="B34" s="29"/>
      <c r="C34" s="59" t="s">
        <v>565</v>
      </c>
      <c r="D34" s="30"/>
      <c r="E34" s="119" t="s">
        <v>639</v>
      </c>
      <c r="F34" s="120"/>
      <c r="G34" s="63" t="s">
        <v>598</v>
      </c>
      <c r="H34" s="68" t="s">
        <v>598</v>
      </c>
      <c r="I34" s="105" t="str">
        <f t="shared" ref="I34:I54" si="8">IF(OR(H34="NA",H34="" ),"NA",IF(H34&lt;=20,5,IF(H34&lt;=40,4,IF(H34&lt;=60,3,IF(H34&lt;=80,2,1)))))</f>
        <v>NA</v>
      </c>
      <c r="J34" s="68" t="s">
        <v>598</v>
      </c>
      <c r="K34" s="105" t="str">
        <f t="shared" ref="K34:K54" si="9">IF(OR(J34="NA",J34="" ),"NA",IF(J34&lt;=50,5,IF(J34&lt;=60,4,IF(J34&lt;=70,3,IF(J34&lt;=80,2,1)))))</f>
        <v>NA</v>
      </c>
      <c r="L34" s="105" t="str">
        <f t="shared" ref="L34:L54" si="10">IFERROR(IF(AND(H34&lt;&gt;"NA",J34&lt;&gt;"NA"),I34*K34,"NA"),"NA")</f>
        <v>NA</v>
      </c>
      <c r="M34" s="136"/>
      <c r="N34" s="115"/>
    </row>
    <row r="35" spans="1:14" ht="20.100000000000001" hidden="1" customHeight="1" x14ac:dyDescent="0.3">
      <c r="A35" s="118"/>
      <c r="B35" s="29">
        <v>0</v>
      </c>
      <c r="C35" s="71">
        <v>1</v>
      </c>
      <c r="D35" s="30"/>
      <c r="E35" s="121" t="s">
        <v>634</v>
      </c>
      <c r="F35" s="122"/>
      <c r="G35" s="63" t="s">
        <v>598</v>
      </c>
      <c r="H35" s="68" t="s">
        <v>598</v>
      </c>
      <c r="I35" s="105" t="str">
        <f t="shared" si="8"/>
        <v>NA</v>
      </c>
      <c r="J35" s="68" t="s">
        <v>598</v>
      </c>
      <c r="K35" s="105" t="str">
        <f t="shared" si="9"/>
        <v>NA</v>
      </c>
      <c r="L35" s="105" t="str">
        <f t="shared" si="10"/>
        <v>NA</v>
      </c>
      <c r="M35" s="136"/>
      <c r="N35" s="115"/>
    </row>
    <row r="36" spans="1:14" ht="20.100000000000001" hidden="1" customHeight="1" x14ac:dyDescent="0.3">
      <c r="A36" s="118"/>
      <c r="B36" s="29"/>
      <c r="C36" s="44" t="s">
        <v>598</v>
      </c>
      <c r="D36" s="72"/>
      <c r="E36" s="44" t="s">
        <v>598</v>
      </c>
      <c r="F36" s="44" t="s">
        <v>598</v>
      </c>
      <c r="G36" s="63" t="s">
        <v>598</v>
      </c>
      <c r="H36" s="68" t="s">
        <v>598</v>
      </c>
      <c r="I36" s="105" t="str">
        <f t="shared" si="8"/>
        <v>NA</v>
      </c>
      <c r="J36" s="68" t="s">
        <v>598</v>
      </c>
      <c r="K36" s="105" t="str">
        <f t="shared" si="9"/>
        <v>NA</v>
      </c>
      <c r="L36" s="105" t="str">
        <f t="shared" si="10"/>
        <v>NA</v>
      </c>
      <c r="M36" s="136"/>
      <c r="N36" s="115"/>
    </row>
    <row r="37" spans="1:14" ht="19.95" hidden="1" customHeight="1" x14ac:dyDescent="0.3">
      <c r="A37" s="118"/>
      <c r="B37" s="29"/>
      <c r="C37" s="44" t="s">
        <v>598</v>
      </c>
      <c r="D37" s="72"/>
      <c r="E37" s="44" t="s">
        <v>598</v>
      </c>
      <c r="F37" s="44" t="s">
        <v>598</v>
      </c>
      <c r="G37" s="63" t="s">
        <v>598</v>
      </c>
      <c r="H37" s="68" t="s">
        <v>598</v>
      </c>
      <c r="I37" s="105" t="str">
        <f t="shared" si="8"/>
        <v>NA</v>
      </c>
      <c r="J37" s="68" t="s">
        <v>598</v>
      </c>
      <c r="K37" s="105" t="str">
        <f t="shared" si="9"/>
        <v>NA</v>
      </c>
      <c r="L37" s="105" t="str">
        <f t="shared" si="10"/>
        <v>NA</v>
      </c>
      <c r="M37" s="136"/>
      <c r="N37" s="115"/>
    </row>
    <row r="38" spans="1:14" ht="19.95" hidden="1" customHeight="1" x14ac:dyDescent="0.3">
      <c r="A38" s="118"/>
      <c r="B38" s="29"/>
      <c r="C38" s="44" t="s">
        <v>598</v>
      </c>
      <c r="D38" s="30"/>
      <c r="E38" s="44" t="s">
        <v>598</v>
      </c>
      <c r="F38" s="44" t="s">
        <v>598</v>
      </c>
      <c r="G38" s="63" t="s">
        <v>598</v>
      </c>
      <c r="H38" s="68" t="s">
        <v>598</v>
      </c>
      <c r="I38" s="105" t="str">
        <f t="shared" si="8"/>
        <v>NA</v>
      </c>
      <c r="J38" s="68" t="s">
        <v>598</v>
      </c>
      <c r="K38" s="105" t="str">
        <f t="shared" si="9"/>
        <v>NA</v>
      </c>
      <c r="L38" s="105" t="str">
        <f t="shared" si="10"/>
        <v>NA</v>
      </c>
      <c r="M38" s="136"/>
      <c r="N38" s="115"/>
    </row>
    <row r="39" spans="1:14" ht="19.95" hidden="1" customHeight="1" x14ac:dyDescent="0.3">
      <c r="A39" s="118"/>
      <c r="B39" s="29"/>
      <c r="C39" s="44" t="s">
        <v>598</v>
      </c>
      <c r="D39" s="29"/>
      <c r="E39" s="44" t="s">
        <v>598</v>
      </c>
      <c r="F39" s="44" t="s">
        <v>598</v>
      </c>
      <c r="G39" s="63" t="s">
        <v>598</v>
      </c>
      <c r="H39" s="68" t="s">
        <v>598</v>
      </c>
      <c r="I39" s="105" t="str">
        <f t="shared" si="8"/>
        <v>NA</v>
      </c>
      <c r="J39" s="68" t="s">
        <v>598</v>
      </c>
      <c r="K39" s="105" t="str">
        <f t="shared" si="9"/>
        <v>NA</v>
      </c>
      <c r="L39" s="105" t="str">
        <f t="shared" si="10"/>
        <v>NA</v>
      </c>
      <c r="M39" s="136"/>
      <c r="N39" s="115"/>
    </row>
    <row r="40" spans="1:14" ht="19.95" hidden="1" customHeight="1" x14ac:dyDescent="0.3">
      <c r="A40" s="118"/>
      <c r="B40" s="29"/>
      <c r="C40" s="44" t="s">
        <v>598</v>
      </c>
      <c r="D40" s="29"/>
      <c r="E40" s="44" t="s">
        <v>598</v>
      </c>
      <c r="F40" s="44" t="s">
        <v>598</v>
      </c>
      <c r="G40" s="63" t="s">
        <v>598</v>
      </c>
      <c r="H40" s="68" t="s">
        <v>598</v>
      </c>
      <c r="I40" s="105" t="str">
        <f t="shared" si="8"/>
        <v>NA</v>
      </c>
      <c r="J40" s="68" t="s">
        <v>598</v>
      </c>
      <c r="K40" s="105" t="str">
        <f t="shared" si="9"/>
        <v>NA</v>
      </c>
      <c r="L40" s="105" t="str">
        <f t="shared" si="10"/>
        <v>NA</v>
      </c>
      <c r="M40" s="136"/>
      <c r="N40" s="115"/>
    </row>
    <row r="41" spans="1:14" ht="19.95" hidden="1" customHeight="1" x14ac:dyDescent="0.3">
      <c r="A41" s="118"/>
      <c r="B41" s="29"/>
      <c r="C41" s="44" t="s">
        <v>598</v>
      </c>
      <c r="D41" s="29"/>
      <c r="E41" s="44" t="s">
        <v>598</v>
      </c>
      <c r="F41" s="44" t="s">
        <v>598</v>
      </c>
      <c r="G41" s="63" t="s">
        <v>598</v>
      </c>
      <c r="H41" s="68" t="s">
        <v>598</v>
      </c>
      <c r="I41" s="105" t="str">
        <f t="shared" si="8"/>
        <v>NA</v>
      </c>
      <c r="J41" s="68" t="s">
        <v>598</v>
      </c>
      <c r="K41" s="105" t="str">
        <f t="shared" si="9"/>
        <v>NA</v>
      </c>
      <c r="L41" s="105" t="str">
        <f t="shared" si="10"/>
        <v>NA</v>
      </c>
      <c r="M41" s="136"/>
      <c r="N41" s="115"/>
    </row>
    <row r="42" spans="1:14" ht="19.95" hidden="1" customHeight="1" x14ac:dyDescent="0.3">
      <c r="A42" s="118"/>
      <c r="B42" s="29"/>
      <c r="C42" s="44" t="s">
        <v>598</v>
      </c>
      <c r="D42" s="29"/>
      <c r="E42" s="44" t="s">
        <v>598</v>
      </c>
      <c r="F42" s="44" t="s">
        <v>598</v>
      </c>
      <c r="G42" s="63" t="s">
        <v>598</v>
      </c>
      <c r="H42" s="68" t="s">
        <v>598</v>
      </c>
      <c r="I42" s="105" t="str">
        <f t="shared" si="8"/>
        <v>NA</v>
      </c>
      <c r="J42" s="68" t="s">
        <v>598</v>
      </c>
      <c r="K42" s="105" t="str">
        <f t="shared" si="9"/>
        <v>NA</v>
      </c>
      <c r="L42" s="105" t="str">
        <f t="shared" si="10"/>
        <v>NA</v>
      </c>
      <c r="M42" s="136"/>
      <c r="N42" s="115"/>
    </row>
    <row r="43" spans="1:14" ht="20.100000000000001" hidden="1" customHeight="1" x14ac:dyDescent="0.3">
      <c r="A43" s="118"/>
      <c r="B43" s="29"/>
      <c r="C43" s="44" t="s">
        <v>598</v>
      </c>
      <c r="D43" s="29"/>
      <c r="E43" s="44" t="s">
        <v>598</v>
      </c>
      <c r="F43" s="44" t="s">
        <v>598</v>
      </c>
      <c r="G43" s="70" t="s">
        <v>598</v>
      </c>
      <c r="H43" s="44" t="s">
        <v>598</v>
      </c>
      <c r="I43" s="105" t="str">
        <f t="shared" si="8"/>
        <v>NA</v>
      </c>
      <c r="J43" s="44" t="s">
        <v>598</v>
      </c>
      <c r="K43" s="105" t="str">
        <f t="shared" si="9"/>
        <v>NA</v>
      </c>
      <c r="L43" s="105" t="str">
        <f t="shared" si="10"/>
        <v>NA</v>
      </c>
      <c r="M43" s="29"/>
      <c r="N43" s="29"/>
    </row>
    <row r="44" spans="1:14" ht="20.100000000000001" hidden="1" customHeight="1" x14ac:dyDescent="0.3">
      <c r="A44" s="118"/>
      <c r="B44" s="29"/>
      <c r="C44" s="44" t="s">
        <v>598</v>
      </c>
      <c r="D44" s="29"/>
      <c r="E44" s="44" t="s">
        <v>598</v>
      </c>
      <c r="F44" s="44" t="s">
        <v>598</v>
      </c>
      <c r="G44" s="70" t="s">
        <v>598</v>
      </c>
      <c r="H44" s="44" t="s">
        <v>598</v>
      </c>
      <c r="I44" s="105" t="str">
        <f t="shared" si="8"/>
        <v>NA</v>
      </c>
      <c r="J44" s="44" t="s">
        <v>598</v>
      </c>
      <c r="K44" s="105" t="str">
        <f t="shared" si="9"/>
        <v>NA</v>
      </c>
      <c r="L44" s="105" t="str">
        <f t="shared" si="10"/>
        <v>NA</v>
      </c>
      <c r="M44" s="29"/>
      <c r="N44" s="29"/>
    </row>
    <row r="45" spans="1:14" ht="20.100000000000001" hidden="1" customHeight="1" x14ac:dyDescent="0.3">
      <c r="A45" s="118"/>
      <c r="B45" s="29"/>
      <c r="C45" s="44" t="s">
        <v>598</v>
      </c>
      <c r="D45" s="29"/>
      <c r="E45" s="44" t="s">
        <v>598</v>
      </c>
      <c r="F45" s="44" t="s">
        <v>598</v>
      </c>
      <c r="G45" s="44" t="s">
        <v>598</v>
      </c>
      <c r="H45" s="44" t="s">
        <v>598</v>
      </c>
      <c r="I45" s="105" t="str">
        <f t="shared" si="8"/>
        <v>NA</v>
      </c>
      <c r="J45" s="44" t="s">
        <v>598</v>
      </c>
      <c r="K45" s="105" t="str">
        <f t="shared" si="9"/>
        <v>NA</v>
      </c>
      <c r="L45" s="105" t="str">
        <f t="shared" si="10"/>
        <v>NA</v>
      </c>
      <c r="M45" s="29"/>
      <c r="N45" s="29"/>
    </row>
    <row r="46" spans="1:14" hidden="1" x14ac:dyDescent="0.3">
      <c r="A46" s="118"/>
      <c r="B46" s="29"/>
      <c r="C46" s="44" t="s">
        <v>598</v>
      </c>
      <c r="D46" s="29"/>
      <c r="E46" s="44" t="s">
        <v>598</v>
      </c>
      <c r="F46" s="44" t="s">
        <v>598</v>
      </c>
      <c r="G46" s="44" t="s">
        <v>598</v>
      </c>
      <c r="H46" s="44" t="s">
        <v>598</v>
      </c>
      <c r="I46" s="105" t="str">
        <f t="shared" si="8"/>
        <v>NA</v>
      </c>
      <c r="J46" s="44" t="s">
        <v>598</v>
      </c>
      <c r="K46" s="105" t="str">
        <f t="shared" si="9"/>
        <v>NA</v>
      </c>
      <c r="L46" s="105" t="str">
        <f t="shared" si="10"/>
        <v>NA</v>
      </c>
      <c r="M46" s="29"/>
      <c r="N46" s="29"/>
    </row>
    <row r="47" spans="1:14" hidden="1" x14ac:dyDescent="0.3">
      <c r="A47" s="118"/>
      <c r="B47" s="29"/>
      <c r="C47" s="44" t="s">
        <v>598</v>
      </c>
      <c r="D47" s="29"/>
      <c r="E47" s="44" t="s">
        <v>598</v>
      </c>
      <c r="F47" s="44" t="s">
        <v>598</v>
      </c>
      <c r="G47" s="44" t="s">
        <v>598</v>
      </c>
      <c r="H47" s="44" t="s">
        <v>598</v>
      </c>
      <c r="I47" s="105" t="str">
        <f t="shared" si="8"/>
        <v>NA</v>
      </c>
      <c r="J47" s="44" t="s">
        <v>598</v>
      </c>
      <c r="K47" s="105" t="str">
        <f t="shared" si="9"/>
        <v>NA</v>
      </c>
      <c r="L47" s="105" t="str">
        <f t="shared" si="10"/>
        <v>NA</v>
      </c>
      <c r="M47" s="29"/>
      <c r="N47" s="29"/>
    </row>
    <row r="48" spans="1:14" hidden="1" x14ac:dyDescent="0.3">
      <c r="A48" s="118"/>
      <c r="B48" s="29"/>
      <c r="C48" s="44" t="s">
        <v>598</v>
      </c>
      <c r="D48" s="29"/>
      <c r="E48" s="44" t="s">
        <v>598</v>
      </c>
      <c r="F48" s="44" t="s">
        <v>598</v>
      </c>
      <c r="G48" s="44" t="s">
        <v>598</v>
      </c>
      <c r="H48" s="44" t="s">
        <v>598</v>
      </c>
      <c r="I48" s="105" t="str">
        <f t="shared" si="8"/>
        <v>NA</v>
      </c>
      <c r="J48" s="44" t="s">
        <v>598</v>
      </c>
      <c r="K48" s="105" t="str">
        <f t="shared" si="9"/>
        <v>NA</v>
      </c>
      <c r="L48" s="105" t="str">
        <f t="shared" si="10"/>
        <v>NA</v>
      </c>
      <c r="M48" s="29"/>
      <c r="N48" s="29"/>
    </row>
    <row r="49" spans="1:14" hidden="1" x14ac:dyDescent="0.3">
      <c r="A49" s="118"/>
      <c r="B49" s="29"/>
      <c r="C49" s="44" t="s">
        <v>598</v>
      </c>
      <c r="D49" s="29"/>
      <c r="E49" s="44" t="s">
        <v>598</v>
      </c>
      <c r="F49" s="44" t="s">
        <v>598</v>
      </c>
      <c r="G49" s="44" t="s">
        <v>598</v>
      </c>
      <c r="H49" s="44" t="s">
        <v>598</v>
      </c>
      <c r="I49" s="105" t="str">
        <f t="shared" si="8"/>
        <v>NA</v>
      </c>
      <c r="J49" s="44" t="s">
        <v>598</v>
      </c>
      <c r="K49" s="105" t="str">
        <f t="shared" si="9"/>
        <v>NA</v>
      </c>
      <c r="L49" s="105" t="str">
        <f t="shared" si="10"/>
        <v>NA</v>
      </c>
      <c r="M49" s="29"/>
      <c r="N49" s="29"/>
    </row>
    <row r="50" spans="1:14" hidden="1" x14ac:dyDescent="0.3">
      <c r="A50" s="118"/>
      <c r="B50" s="29"/>
      <c r="C50" s="44" t="s">
        <v>598</v>
      </c>
      <c r="D50" s="29"/>
      <c r="E50" s="44" t="s">
        <v>598</v>
      </c>
      <c r="F50" s="44" t="s">
        <v>598</v>
      </c>
      <c r="G50" s="44" t="s">
        <v>598</v>
      </c>
      <c r="H50" s="44" t="s">
        <v>598</v>
      </c>
      <c r="I50" s="105" t="str">
        <f t="shared" si="8"/>
        <v>NA</v>
      </c>
      <c r="J50" s="44" t="s">
        <v>598</v>
      </c>
      <c r="K50" s="105" t="str">
        <f t="shared" si="9"/>
        <v>NA</v>
      </c>
      <c r="L50" s="105" t="str">
        <f t="shared" si="10"/>
        <v>NA</v>
      </c>
      <c r="M50" s="29"/>
      <c r="N50" s="29"/>
    </row>
    <row r="51" spans="1:14" hidden="1" x14ac:dyDescent="0.3">
      <c r="A51" s="118"/>
      <c r="B51" s="29"/>
      <c r="C51" s="44" t="s">
        <v>598</v>
      </c>
      <c r="D51" s="29"/>
      <c r="E51" s="44" t="s">
        <v>598</v>
      </c>
      <c r="F51" s="44" t="s">
        <v>598</v>
      </c>
      <c r="G51" s="44" t="s">
        <v>598</v>
      </c>
      <c r="H51" s="44" t="s">
        <v>598</v>
      </c>
      <c r="I51" s="105" t="str">
        <f t="shared" si="8"/>
        <v>NA</v>
      </c>
      <c r="J51" s="44" t="s">
        <v>598</v>
      </c>
      <c r="K51" s="105" t="str">
        <f t="shared" si="9"/>
        <v>NA</v>
      </c>
      <c r="L51" s="105" t="str">
        <f t="shared" si="10"/>
        <v>NA</v>
      </c>
      <c r="M51" s="29"/>
      <c r="N51" s="29"/>
    </row>
    <row r="52" spans="1:14" hidden="1" x14ac:dyDescent="0.3">
      <c r="A52" s="118"/>
      <c r="B52" s="29"/>
      <c r="C52" s="44" t="s">
        <v>598</v>
      </c>
      <c r="D52" s="29"/>
      <c r="E52" s="44" t="s">
        <v>598</v>
      </c>
      <c r="F52" s="44" t="s">
        <v>598</v>
      </c>
      <c r="G52" s="44" t="s">
        <v>598</v>
      </c>
      <c r="H52" s="44" t="s">
        <v>598</v>
      </c>
      <c r="I52" s="105" t="str">
        <f t="shared" si="8"/>
        <v>NA</v>
      </c>
      <c r="J52" s="44" t="s">
        <v>598</v>
      </c>
      <c r="K52" s="105" t="str">
        <f t="shared" si="9"/>
        <v>NA</v>
      </c>
      <c r="L52" s="105" t="str">
        <f t="shared" si="10"/>
        <v>NA</v>
      </c>
      <c r="M52" s="29"/>
      <c r="N52" s="29"/>
    </row>
    <row r="53" spans="1:14" hidden="1" x14ac:dyDescent="0.3">
      <c r="A53" s="118"/>
      <c r="B53" s="29"/>
      <c r="C53" s="44" t="s">
        <v>598</v>
      </c>
      <c r="D53" s="73"/>
      <c r="E53" s="44" t="s">
        <v>598</v>
      </c>
      <c r="F53" s="44" t="s">
        <v>598</v>
      </c>
      <c r="G53" s="44" t="s">
        <v>598</v>
      </c>
      <c r="H53" s="44" t="s">
        <v>598</v>
      </c>
      <c r="I53" s="105" t="str">
        <f t="shared" si="8"/>
        <v>NA</v>
      </c>
      <c r="J53" s="44" t="s">
        <v>598</v>
      </c>
      <c r="K53" s="105" t="str">
        <f t="shared" si="9"/>
        <v>NA</v>
      </c>
      <c r="L53" s="105" t="str">
        <f t="shared" si="10"/>
        <v>NA</v>
      </c>
      <c r="M53" s="29"/>
      <c r="N53" s="29"/>
    </row>
    <row r="54" spans="1:14" hidden="1" x14ac:dyDescent="0.3">
      <c r="A54" s="118"/>
      <c r="B54" s="29"/>
      <c r="C54" s="74" t="s">
        <v>598</v>
      </c>
      <c r="D54" s="73"/>
      <c r="E54" s="74" t="s">
        <v>598</v>
      </c>
      <c r="F54" s="74" t="s">
        <v>598</v>
      </c>
      <c r="G54" s="45" t="s">
        <v>598</v>
      </c>
      <c r="H54" s="45" t="s">
        <v>598</v>
      </c>
      <c r="I54" s="105" t="str">
        <f t="shared" si="8"/>
        <v>NA</v>
      </c>
      <c r="J54" s="45"/>
      <c r="K54" s="105" t="str">
        <f t="shared" si="9"/>
        <v>NA</v>
      </c>
      <c r="L54" s="105" t="str">
        <f t="shared" si="10"/>
        <v>NA</v>
      </c>
      <c r="M54" s="29"/>
      <c r="N54" s="29"/>
    </row>
    <row r="55" spans="1:14" ht="20.100000000000001" hidden="1" customHeight="1" x14ac:dyDescent="0.3">
      <c r="A55" s="118">
        <f>SUM('Master Data'!S1:U1)</f>
        <v>0</v>
      </c>
      <c r="B55" s="29"/>
      <c r="C55" s="81"/>
      <c r="D55" s="82"/>
      <c r="E55" s="82"/>
      <c r="F55" s="82"/>
      <c r="G55" s="82"/>
      <c r="H55" s="82"/>
      <c r="I55" s="103" t="s">
        <v>494</v>
      </c>
      <c r="J55" s="82"/>
      <c r="K55" s="103"/>
      <c r="L55" s="103"/>
      <c r="M55" s="82"/>
      <c r="N55" s="83"/>
    </row>
    <row r="56" spans="1:14" ht="20.100000000000001" hidden="1" customHeight="1" x14ac:dyDescent="0.3">
      <c r="A56" s="118"/>
      <c r="B56" s="29"/>
      <c r="C56" s="60" t="s">
        <v>603</v>
      </c>
      <c r="D56" s="59"/>
      <c r="E56" s="60" t="s">
        <v>8</v>
      </c>
      <c r="F56" s="59" t="s">
        <v>604</v>
      </c>
      <c r="G56" s="62" t="s">
        <v>597</v>
      </c>
      <c r="H56" s="62" t="s">
        <v>624</v>
      </c>
      <c r="I56" s="104" t="s">
        <v>628</v>
      </c>
      <c r="J56" s="62" t="s">
        <v>625</v>
      </c>
      <c r="K56" s="104" t="s">
        <v>630</v>
      </c>
      <c r="L56" s="104" t="s">
        <v>626</v>
      </c>
      <c r="M56" s="38" t="s">
        <v>617</v>
      </c>
      <c r="N56" s="62" t="s">
        <v>597</v>
      </c>
    </row>
    <row r="57" spans="1:14" ht="20.100000000000001" hidden="1" customHeight="1" x14ac:dyDescent="0.3">
      <c r="A57" s="118"/>
      <c r="B57" s="55">
        <f>VLOOKUP(C57,'[1]Master Data'!$L$14:$M$15,2,0)</f>
        <v>2</v>
      </c>
      <c r="C57" s="55" t="s">
        <v>514</v>
      </c>
      <c r="D57" s="55">
        <f>VLOOKUP(E57,'Master Data'!$L$2:$M$7,2,0)</f>
        <v>1</v>
      </c>
      <c r="E57" s="55" t="s">
        <v>575</v>
      </c>
      <c r="F57" s="55">
        <v>0</v>
      </c>
      <c r="G57" s="63" t="s">
        <v>598</v>
      </c>
      <c r="H57" s="68" t="s">
        <v>598</v>
      </c>
      <c r="I57" s="105" t="str">
        <f>IF(OR(H57="NA",H57="" ),"NA",IF(H57&lt;=20,5,IF(H57&lt;=40,4,IF(H57&lt;=60,3,IF(H57&lt;=80,2,1)))))</f>
        <v>NA</v>
      </c>
      <c r="J57" s="68" t="s">
        <v>598</v>
      </c>
      <c r="K57" s="105" t="str">
        <f>IF(OR(J57="NA",J57="" ),"NA",IF(J57&lt;=50,5,IF(J57&lt;=60,4,IF(J57&lt;=70,3,IF(J57&lt;=80,2,1)))))</f>
        <v>NA</v>
      </c>
      <c r="L57" s="105" t="str">
        <f t="shared" ref="L57" si="11">IFERROR(IF(AND(H57&lt;&gt;"NA",J57&lt;&gt;"NA"),I57*K57,"NA"),"NA")</f>
        <v>NA</v>
      </c>
      <c r="M57" s="136"/>
      <c r="N57" s="115"/>
    </row>
    <row r="58" spans="1:14" ht="20.100000000000001" hidden="1" customHeight="1" x14ac:dyDescent="0.3">
      <c r="A58" s="118"/>
      <c r="B58" s="29"/>
      <c r="C58" s="60" t="s">
        <v>605</v>
      </c>
      <c r="D58" s="30"/>
      <c r="E58" s="119" t="s">
        <v>639</v>
      </c>
      <c r="F58" s="120"/>
      <c r="G58" s="63" t="s">
        <v>598</v>
      </c>
      <c r="H58" s="68" t="s">
        <v>598</v>
      </c>
      <c r="I58" s="105" t="str">
        <f t="shared" ref="I58:I66" si="12">IF(OR(H58="NA",H58="" ),"NA",IF(H58&lt;=20,5,IF(H58&lt;=40,4,IF(H58&lt;=60,3,IF(H58&lt;=80,2,1)))))</f>
        <v>NA</v>
      </c>
      <c r="J58" s="68" t="s">
        <v>598</v>
      </c>
      <c r="K58" s="105" t="str">
        <f t="shared" ref="K58:K66" si="13">IF(OR(J58="NA",J58="" ),"NA",IF(J58&lt;=50,5,IF(J58&lt;=60,4,IF(J58&lt;=70,3,IF(J58&lt;=80,2,1)))))</f>
        <v>NA</v>
      </c>
      <c r="L58" s="105" t="str">
        <f>IFERROR(IF(AND(H58&lt;&gt;"NA",J58&lt;&gt;"NA"),I58*K58,"NA"),"NA")</f>
        <v>NA</v>
      </c>
      <c r="M58" s="136"/>
      <c r="N58" s="115"/>
    </row>
    <row r="59" spans="1:14" ht="20.100000000000001" hidden="1" customHeight="1" x14ac:dyDescent="0.3">
      <c r="A59" s="118"/>
      <c r="B59" s="29"/>
      <c r="C59" s="55" t="s">
        <v>507</v>
      </c>
      <c r="D59" s="30"/>
      <c r="E59" s="121" t="s">
        <v>598</v>
      </c>
      <c r="F59" s="122"/>
      <c r="G59" s="63" t="s">
        <v>598</v>
      </c>
      <c r="H59" s="68" t="s">
        <v>598</v>
      </c>
      <c r="I59" s="105" t="str">
        <f t="shared" si="12"/>
        <v>NA</v>
      </c>
      <c r="J59" s="68" t="s">
        <v>598</v>
      </c>
      <c r="K59" s="105" t="str">
        <f t="shared" si="13"/>
        <v>NA</v>
      </c>
      <c r="L59" s="105" t="str">
        <f t="shared" ref="L59:L66" si="14">IFERROR(IF(AND(H59&lt;&gt;"NA",J59&lt;&gt;"NA"),I59*K59,"NA"),"NA")</f>
        <v>NA</v>
      </c>
      <c r="M59" s="136"/>
      <c r="N59" s="115"/>
    </row>
    <row r="60" spans="1:14" ht="20.100000000000001" hidden="1" customHeight="1" x14ac:dyDescent="0.3">
      <c r="A60" s="118"/>
      <c r="B60" s="29"/>
      <c r="C60" s="63" t="s">
        <v>598</v>
      </c>
      <c r="D60" s="63" t="s">
        <v>598</v>
      </c>
      <c r="E60" s="63" t="s">
        <v>598</v>
      </c>
      <c r="F60" s="63" t="s">
        <v>598</v>
      </c>
      <c r="G60" s="63" t="s">
        <v>598</v>
      </c>
      <c r="H60" s="68" t="s">
        <v>598</v>
      </c>
      <c r="I60" s="105" t="str">
        <f t="shared" si="12"/>
        <v>NA</v>
      </c>
      <c r="J60" s="68" t="s">
        <v>598</v>
      </c>
      <c r="K60" s="105" t="str">
        <f t="shared" si="13"/>
        <v>NA</v>
      </c>
      <c r="L60" s="105" t="str">
        <f t="shared" si="14"/>
        <v>NA</v>
      </c>
      <c r="M60" s="136"/>
      <c r="N60" s="115"/>
    </row>
    <row r="61" spans="1:14" ht="20.100000000000001" hidden="1" customHeight="1" x14ac:dyDescent="0.3">
      <c r="A61" s="118"/>
      <c r="B61" s="29"/>
      <c r="C61" s="63" t="s">
        <v>598</v>
      </c>
      <c r="D61" s="63" t="s">
        <v>598</v>
      </c>
      <c r="E61" s="63" t="s">
        <v>598</v>
      </c>
      <c r="F61" s="63" t="s">
        <v>598</v>
      </c>
      <c r="G61" s="63" t="s">
        <v>598</v>
      </c>
      <c r="H61" s="68" t="s">
        <v>598</v>
      </c>
      <c r="I61" s="105" t="str">
        <f t="shared" si="12"/>
        <v>NA</v>
      </c>
      <c r="J61" s="68" t="s">
        <v>598</v>
      </c>
      <c r="K61" s="105" t="str">
        <f t="shared" si="13"/>
        <v>NA</v>
      </c>
      <c r="L61" s="105" t="str">
        <f t="shared" si="14"/>
        <v>NA</v>
      </c>
      <c r="M61" s="136"/>
      <c r="N61" s="115"/>
    </row>
    <row r="62" spans="1:14" ht="20.100000000000001" hidden="1" customHeight="1" x14ac:dyDescent="0.3">
      <c r="A62" s="118"/>
      <c r="B62" s="29"/>
      <c r="C62" s="63" t="s">
        <v>598</v>
      </c>
      <c r="D62" s="63" t="s">
        <v>598</v>
      </c>
      <c r="E62" s="63" t="s">
        <v>598</v>
      </c>
      <c r="F62" s="63" t="s">
        <v>598</v>
      </c>
      <c r="G62" s="63" t="s">
        <v>598</v>
      </c>
      <c r="H62" s="68" t="s">
        <v>598</v>
      </c>
      <c r="I62" s="105" t="str">
        <f t="shared" si="12"/>
        <v>NA</v>
      </c>
      <c r="J62" s="68" t="s">
        <v>598</v>
      </c>
      <c r="K62" s="105" t="str">
        <f t="shared" si="13"/>
        <v>NA</v>
      </c>
      <c r="L62" s="105" t="str">
        <f t="shared" si="14"/>
        <v>NA</v>
      </c>
      <c r="M62" s="136"/>
      <c r="N62" s="115"/>
    </row>
    <row r="63" spans="1:14" ht="20.100000000000001" hidden="1" customHeight="1" x14ac:dyDescent="0.3">
      <c r="A63" s="118"/>
      <c r="B63" s="29"/>
      <c r="C63" s="63" t="s">
        <v>598</v>
      </c>
      <c r="D63" s="63" t="s">
        <v>598</v>
      </c>
      <c r="E63" s="63" t="s">
        <v>598</v>
      </c>
      <c r="F63" s="63" t="s">
        <v>598</v>
      </c>
      <c r="G63" s="63" t="s">
        <v>598</v>
      </c>
      <c r="H63" s="68" t="s">
        <v>598</v>
      </c>
      <c r="I63" s="105" t="str">
        <f t="shared" si="12"/>
        <v>NA</v>
      </c>
      <c r="J63" s="68" t="s">
        <v>598</v>
      </c>
      <c r="K63" s="105" t="str">
        <f t="shared" si="13"/>
        <v>NA</v>
      </c>
      <c r="L63" s="105" t="str">
        <f t="shared" si="14"/>
        <v>NA</v>
      </c>
      <c r="M63" s="136"/>
      <c r="N63" s="115"/>
    </row>
    <row r="64" spans="1:14" ht="20.100000000000001" hidden="1" customHeight="1" x14ac:dyDescent="0.3">
      <c r="A64" s="118"/>
      <c r="B64" s="29"/>
      <c r="C64" s="63" t="s">
        <v>598</v>
      </c>
      <c r="D64" s="63" t="s">
        <v>598</v>
      </c>
      <c r="E64" s="63" t="s">
        <v>598</v>
      </c>
      <c r="F64" s="63" t="s">
        <v>598</v>
      </c>
      <c r="G64" s="63" t="s">
        <v>598</v>
      </c>
      <c r="H64" s="68" t="s">
        <v>598</v>
      </c>
      <c r="I64" s="105" t="str">
        <f t="shared" si="12"/>
        <v>NA</v>
      </c>
      <c r="J64" s="68" t="s">
        <v>598</v>
      </c>
      <c r="K64" s="105" t="str">
        <f t="shared" si="13"/>
        <v>NA</v>
      </c>
      <c r="L64" s="105" t="str">
        <f t="shared" si="14"/>
        <v>NA</v>
      </c>
      <c r="M64" s="136"/>
      <c r="N64" s="115"/>
    </row>
    <row r="65" spans="1:14" ht="20.100000000000001" hidden="1" customHeight="1" x14ac:dyDescent="0.3">
      <c r="A65" s="118"/>
      <c r="B65" s="29"/>
      <c r="C65" s="63" t="s">
        <v>598</v>
      </c>
      <c r="D65" s="63" t="s">
        <v>598</v>
      </c>
      <c r="E65" s="63" t="s">
        <v>598</v>
      </c>
      <c r="F65" s="63" t="s">
        <v>598</v>
      </c>
      <c r="G65" s="63" t="s">
        <v>598</v>
      </c>
      <c r="H65" s="68" t="s">
        <v>598</v>
      </c>
      <c r="I65" s="105" t="str">
        <f t="shared" si="12"/>
        <v>NA</v>
      </c>
      <c r="J65" s="68" t="s">
        <v>598</v>
      </c>
      <c r="K65" s="105" t="str">
        <f t="shared" si="13"/>
        <v>NA</v>
      </c>
      <c r="L65" s="105" t="str">
        <f t="shared" si="14"/>
        <v>NA</v>
      </c>
      <c r="M65" s="136"/>
      <c r="N65" s="115"/>
    </row>
    <row r="66" spans="1:14" ht="20.100000000000001" hidden="1" customHeight="1" x14ac:dyDescent="0.3">
      <c r="A66" s="118"/>
      <c r="B66" s="29"/>
      <c r="C66" s="63" t="s">
        <v>598</v>
      </c>
      <c r="D66" s="63" t="s">
        <v>598</v>
      </c>
      <c r="E66" s="63" t="s">
        <v>598</v>
      </c>
      <c r="F66" s="63" t="s">
        <v>598</v>
      </c>
      <c r="G66" s="63" t="s">
        <v>598</v>
      </c>
      <c r="H66" s="68" t="s">
        <v>598</v>
      </c>
      <c r="I66" s="105" t="str">
        <f t="shared" si="12"/>
        <v>NA</v>
      </c>
      <c r="J66" s="68" t="s">
        <v>598</v>
      </c>
      <c r="K66" s="105" t="str">
        <f t="shared" si="13"/>
        <v>NA</v>
      </c>
      <c r="L66" s="105" t="str">
        <f t="shared" si="14"/>
        <v>NA</v>
      </c>
      <c r="M66" s="136"/>
      <c r="N66" s="115"/>
    </row>
    <row r="67" spans="1:14" ht="20.100000000000001" hidden="1" customHeight="1" x14ac:dyDescent="0.3">
      <c r="A67" s="118">
        <f>SUM('Master Data'!S1:V1)</f>
        <v>0</v>
      </c>
      <c r="B67" s="29"/>
      <c r="C67" s="81"/>
      <c r="D67" s="82"/>
      <c r="E67" s="82"/>
      <c r="F67" s="82"/>
      <c r="G67" s="82"/>
      <c r="H67" s="82"/>
      <c r="I67" s="103" t="s">
        <v>589</v>
      </c>
      <c r="J67" s="82"/>
      <c r="K67" s="103"/>
      <c r="L67" s="103"/>
      <c r="M67" s="82"/>
      <c r="N67" s="83"/>
    </row>
    <row r="68" spans="1:14" ht="20.100000000000001" hidden="1" customHeight="1" x14ac:dyDescent="0.3">
      <c r="A68" s="118"/>
      <c r="B68" s="59"/>
      <c r="C68" s="60" t="s">
        <v>8</v>
      </c>
      <c r="D68" s="29"/>
      <c r="E68" s="127" t="s">
        <v>649</v>
      </c>
      <c r="F68" s="120"/>
      <c r="G68" s="62" t="s">
        <v>597</v>
      </c>
      <c r="H68" s="62" t="s">
        <v>624</v>
      </c>
      <c r="I68" s="104" t="s">
        <v>628</v>
      </c>
      <c r="J68" s="62" t="s">
        <v>625</v>
      </c>
      <c r="K68" s="104" t="s">
        <v>630</v>
      </c>
      <c r="L68" s="104" t="s">
        <v>626</v>
      </c>
      <c r="M68" s="38" t="s">
        <v>617</v>
      </c>
      <c r="N68" s="62" t="s">
        <v>597</v>
      </c>
    </row>
    <row r="69" spans="1:14" ht="20.100000000000001" hidden="1" customHeight="1" x14ac:dyDescent="0.3">
      <c r="A69" s="118"/>
      <c r="B69" s="55">
        <f>VLOOKUP(C69,'Master Data'!$L$2:$M$7,2,0)</f>
        <v>5</v>
      </c>
      <c r="C69" s="55" t="s">
        <v>666</v>
      </c>
      <c r="D69" s="46">
        <f>VLOOKUP(E69,'Master Data'!Q12:R14,2,0)</f>
        <v>0</v>
      </c>
      <c r="E69" s="121" t="s">
        <v>598</v>
      </c>
      <c r="F69" s="122"/>
      <c r="G69" s="63" t="s">
        <v>598</v>
      </c>
      <c r="H69" s="68" t="s">
        <v>598</v>
      </c>
      <c r="I69" s="105" t="str">
        <f>IF(OR(H69="NA",H69="" ),"NA",IF(H69&lt;=20,5,IF(H69&lt;=40,4,IF(H69&lt;=60,3,IF(H69&lt;=80,2,1)))))</f>
        <v>NA</v>
      </c>
      <c r="J69" s="64" t="s">
        <v>598</v>
      </c>
      <c r="K69" s="105" t="str">
        <f>IF(OR(J69="NA",J69="" ),"NA",IF(J69&lt;=50,5,IF(J69&lt;=60,4,IF(J69&lt;=70,3,IF(J69&lt;=80,2,1)))))</f>
        <v>NA</v>
      </c>
      <c r="L69" s="105" t="str">
        <f t="shared" ref="L69" si="15">IFERROR(IF(AND(H69&lt;&gt;"NA",J69&lt;&gt;"NA"),I69*K69,"NA"),"NA")</f>
        <v>NA</v>
      </c>
      <c r="M69" s="123"/>
      <c r="N69" s="115"/>
    </row>
    <row r="70" spans="1:14" ht="20.100000000000001" hidden="1" customHeight="1" x14ac:dyDescent="0.3">
      <c r="A70" s="118"/>
      <c r="B70" s="29"/>
      <c r="C70" s="119" t="s">
        <v>639</v>
      </c>
      <c r="D70" s="120"/>
      <c r="E70" s="120"/>
      <c r="F70" s="131"/>
      <c r="G70" s="63" t="s">
        <v>598</v>
      </c>
      <c r="H70" s="68" t="s">
        <v>598</v>
      </c>
      <c r="I70" s="105" t="str">
        <f t="shared" ref="I70:I78" si="16">IF(OR(H70="NA",H70="" ),"NA",IF(H70&lt;=20,5,IF(H70&lt;=40,4,IF(H70&lt;=60,3,IF(H70&lt;=80,2,1)))))</f>
        <v>NA</v>
      </c>
      <c r="J70" s="64" t="s">
        <v>598</v>
      </c>
      <c r="K70" s="105" t="str">
        <f t="shared" ref="K70:K78" si="17">IF(OR(J70="NA",J70="" ),"NA",IF(J70&lt;=50,5,IF(J70&lt;=60,4,IF(J70&lt;=70,3,IF(J70&lt;=80,2,1)))))</f>
        <v>NA</v>
      </c>
      <c r="L70" s="105" t="str">
        <f t="shared" ref="L70:L78" si="18">IFERROR(IF(AND(H70&lt;&gt;"NA",J70&lt;&gt;"NA"),I70*K70,"NA"),"NA")</f>
        <v>NA</v>
      </c>
      <c r="M70" s="123"/>
      <c r="N70" s="115"/>
    </row>
    <row r="71" spans="1:14" ht="20.100000000000001" hidden="1" customHeight="1" x14ac:dyDescent="0.3">
      <c r="A71" s="118"/>
      <c r="B71" s="29"/>
      <c r="C71" s="138" t="s">
        <v>598</v>
      </c>
      <c r="D71" s="139"/>
      <c r="E71" s="139"/>
      <c r="F71" s="140"/>
      <c r="G71" s="63" t="s">
        <v>598</v>
      </c>
      <c r="H71" s="68" t="s">
        <v>598</v>
      </c>
      <c r="I71" s="105" t="str">
        <f t="shared" si="16"/>
        <v>NA</v>
      </c>
      <c r="J71" s="64" t="s">
        <v>598</v>
      </c>
      <c r="K71" s="105" t="str">
        <f t="shared" si="17"/>
        <v>NA</v>
      </c>
      <c r="L71" s="105" t="str">
        <f t="shared" si="18"/>
        <v>NA</v>
      </c>
      <c r="M71" s="123"/>
      <c r="N71" s="115"/>
    </row>
    <row r="72" spans="1:14" ht="20.100000000000001" hidden="1" customHeight="1" x14ac:dyDescent="0.3">
      <c r="A72" s="118"/>
      <c r="B72" s="29"/>
      <c r="C72" s="63" t="s">
        <v>598</v>
      </c>
      <c r="D72" s="29"/>
      <c r="E72" s="63" t="s">
        <v>598</v>
      </c>
      <c r="F72" s="63" t="s">
        <v>598</v>
      </c>
      <c r="G72" s="63" t="s">
        <v>598</v>
      </c>
      <c r="H72" s="68" t="s">
        <v>598</v>
      </c>
      <c r="I72" s="105" t="str">
        <f t="shared" si="16"/>
        <v>NA</v>
      </c>
      <c r="J72" s="64" t="s">
        <v>598</v>
      </c>
      <c r="K72" s="105" t="str">
        <f t="shared" si="17"/>
        <v>NA</v>
      </c>
      <c r="L72" s="105" t="str">
        <f t="shared" si="18"/>
        <v>NA</v>
      </c>
      <c r="M72" s="123"/>
      <c r="N72" s="115"/>
    </row>
    <row r="73" spans="1:14" ht="20.100000000000001" hidden="1" customHeight="1" x14ac:dyDescent="0.3">
      <c r="A73" s="118"/>
      <c r="B73" s="29"/>
      <c r="C73" s="63" t="s">
        <v>598</v>
      </c>
      <c r="D73" s="29"/>
      <c r="E73" s="63" t="s">
        <v>598</v>
      </c>
      <c r="F73" s="63" t="s">
        <v>598</v>
      </c>
      <c r="G73" s="63" t="s">
        <v>598</v>
      </c>
      <c r="H73" s="68" t="s">
        <v>598</v>
      </c>
      <c r="I73" s="105" t="str">
        <f t="shared" si="16"/>
        <v>NA</v>
      </c>
      <c r="J73" s="64" t="s">
        <v>598</v>
      </c>
      <c r="K73" s="105" t="str">
        <f t="shared" si="17"/>
        <v>NA</v>
      </c>
      <c r="L73" s="105" t="str">
        <f t="shared" si="18"/>
        <v>NA</v>
      </c>
      <c r="M73" s="123"/>
      <c r="N73" s="115"/>
    </row>
    <row r="74" spans="1:14" ht="20.100000000000001" hidden="1" customHeight="1" x14ac:dyDescent="0.3">
      <c r="A74" s="118"/>
      <c r="B74" s="29"/>
      <c r="C74" s="63" t="s">
        <v>598</v>
      </c>
      <c r="D74" s="29"/>
      <c r="E74" s="63" t="s">
        <v>598</v>
      </c>
      <c r="F74" s="63" t="s">
        <v>598</v>
      </c>
      <c r="G74" s="63" t="s">
        <v>598</v>
      </c>
      <c r="H74" s="68" t="s">
        <v>598</v>
      </c>
      <c r="I74" s="105" t="str">
        <f t="shared" si="16"/>
        <v>NA</v>
      </c>
      <c r="J74" s="64" t="s">
        <v>598</v>
      </c>
      <c r="K74" s="105" t="str">
        <f t="shared" si="17"/>
        <v>NA</v>
      </c>
      <c r="L74" s="105" t="str">
        <f t="shared" si="18"/>
        <v>NA</v>
      </c>
      <c r="M74" s="123"/>
      <c r="N74" s="115"/>
    </row>
    <row r="75" spans="1:14" ht="20.100000000000001" hidden="1" customHeight="1" x14ac:dyDescent="0.3">
      <c r="A75" s="118"/>
      <c r="B75" s="29"/>
      <c r="C75" s="63" t="s">
        <v>598</v>
      </c>
      <c r="D75" s="29"/>
      <c r="E75" s="63" t="s">
        <v>598</v>
      </c>
      <c r="F75" s="63" t="s">
        <v>598</v>
      </c>
      <c r="G75" s="63" t="s">
        <v>598</v>
      </c>
      <c r="H75" s="68" t="s">
        <v>598</v>
      </c>
      <c r="I75" s="105" t="str">
        <f t="shared" si="16"/>
        <v>NA</v>
      </c>
      <c r="J75" s="64" t="s">
        <v>598</v>
      </c>
      <c r="K75" s="105" t="str">
        <f t="shared" si="17"/>
        <v>NA</v>
      </c>
      <c r="L75" s="105" t="str">
        <f t="shared" si="18"/>
        <v>NA</v>
      </c>
      <c r="M75" s="123"/>
      <c r="N75" s="115"/>
    </row>
    <row r="76" spans="1:14" ht="20.100000000000001" hidden="1" customHeight="1" x14ac:dyDescent="0.3">
      <c r="A76" s="118"/>
      <c r="B76" s="29"/>
      <c r="C76" s="63" t="s">
        <v>598</v>
      </c>
      <c r="D76" s="29"/>
      <c r="E76" s="63" t="s">
        <v>598</v>
      </c>
      <c r="F76" s="63" t="s">
        <v>598</v>
      </c>
      <c r="G76" s="63" t="s">
        <v>598</v>
      </c>
      <c r="H76" s="68" t="s">
        <v>598</v>
      </c>
      <c r="I76" s="105" t="str">
        <f t="shared" si="16"/>
        <v>NA</v>
      </c>
      <c r="J76" s="64" t="s">
        <v>598</v>
      </c>
      <c r="K76" s="105" t="str">
        <f t="shared" si="17"/>
        <v>NA</v>
      </c>
      <c r="L76" s="105" t="str">
        <f t="shared" si="18"/>
        <v>NA</v>
      </c>
      <c r="M76" s="123"/>
      <c r="N76" s="115"/>
    </row>
    <row r="77" spans="1:14" ht="20.100000000000001" hidden="1" customHeight="1" x14ac:dyDescent="0.3">
      <c r="A77" s="118"/>
      <c r="B77" s="29"/>
      <c r="C77" s="63" t="s">
        <v>598</v>
      </c>
      <c r="D77" s="29"/>
      <c r="E77" s="63" t="s">
        <v>598</v>
      </c>
      <c r="F77" s="63" t="s">
        <v>598</v>
      </c>
      <c r="G77" s="63" t="s">
        <v>598</v>
      </c>
      <c r="H77" s="68" t="s">
        <v>598</v>
      </c>
      <c r="I77" s="105" t="str">
        <f t="shared" si="16"/>
        <v>NA</v>
      </c>
      <c r="J77" s="64" t="s">
        <v>598</v>
      </c>
      <c r="K77" s="105" t="str">
        <f t="shared" si="17"/>
        <v>NA</v>
      </c>
      <c r="L77" s="105" t="str">
        <f t="shared" si="18"/>
        <v>NA</v>
      </c>
      <c r="M77" s="123"/>
      <c r="N77" s="115"/>
    </row>
    <row r="78" spans="1:14" ht="20.100000000000001" hidden="1" customHeight="1" x14ac:dyDescent="0.3">
      <c r="A78" s="118"/>
      <c r="B78" s="29"/>
      <c r="C78" s="63" t="s">
        <v>598</v>
      </c>
      <c r="D78" s="29"/>
      <c r="E78" s="63" t="s">
        <v>598</v>
      </c>
      <c r="F78" s="63" t="s">
        <v>598</v>
      </c>
      <c r="G78" s="63" t="s">
        <v>598</v>
      </c>
      <c r="H78" s="68" t="s">
        <v>598</v>
      </c>
      <c r="I78" s="105" t="str">
        <f t="shared" si="16"/>
        <v>NA</v>
      </c>
      <c r="J78" s="64" t="s">
        <v>598</v>
      </c>
      <c r="K78" s="105" t="str">
        <f t="shared" si="17"/>
        <v>NA</v>
      </c>
      <c r="L78" s="105" t="str">
        <f t="shared" si="18"/>
        <v>NA</v>
      </c>
      <c r="M78" s="123"/>
      <c r="N78" s="115"/>
    </row>
    <row r="79" spans="1:14" ht="20.100000000000001" hidden="1" customHeight="1" x14ac:dyDescent="0.3">
      <c r="A79" s="118">
        <f>SUM('Master Data'!S1:V1,'Master Data'!S2)</f>
        <v>0</v>
      </c>
      <c r="B79" s="29"/>
      <c r="C79" s="81"/>
      <c r="D79" s="82"/>
      <c r="E79" s="82"/>
      <c r="F79" s="82"/>
      <c r="G79" s="82"/>
      <c r="H79" s="82"/>
      <c r="I79" s="103" t="s">
        <v>591</v>
      </c>
      <c r="J79" s="82"/>
      <c r="K79" s="103"/>
      <c r="L79" s="103"/>
      <c r="M79" s="82"/>
      <c r="N79" s="83"/>
    </row>
    <row r="80" spans="1:14" ht="20.100000000000001" hidden="1" customHeight="1" x14ac:dyDescent="0.3">
      <c r="A80" s="118"/>
      <c r="B80" s="29"/>
      <c r="C80" s="60" t="s">
        <v>606</v>
      </c>
      <c r="D80" s="59"/>
      <c r="E80" s="60" t="s">
        <v>8</v>
      </c>
      <c r="F80" s="59" t="s">
        <v>604</v>
      </c>
      <c r="G80" s="62" t="s">
        <v>597</v>
      </c>
      <c r="H80" s="62" t="s">
        <v>624</v>
      </c>
      <c r="I80" s="104" t="s">
        <v>628</v>
      </c>
      <c r="J80" s="62" t="s">
        <v>625</v>
      </c>
      <c r="K80" s="104" t="s">
        <v>630</v>
      </c>
      <c r="L80" s="104" t="s">
        <v>626</v>
      </c>
      <c r="M80" s="38" t="s">
        <v>617</v>
      </c>
      <c r="N80" s="62" t="s">
        <v>597</v>
      </c>
    </row>
    <row r="81" spans="1:14" ht="20.100000000000001" hidden="1" customHeight="1" x14ac:dyDescent="0.3">
      <c r="A81" s="118"/>
      <c r="B81" s="55"/>
      <c r="C81" s="55" t="s">
        <v>523</v>
      </c>
      <c r="D81" s="55">
        <f>VLOOKUP(E81,'Master Data'!$L$2:$M$7,2,0)</f>
        <v>1</v>
      </c>
      <c r="E81" s="55" t="s">
        <v>575</v>
      </c>
      <c r="F81" s="55">
        <v>0</v>
      </c>
      <c r="G81" s="63" t="s">
        <v>598</v>
      </c>
      <c r="H81" s="64" t="s">
        <v>598</v>
      </c>
      <c r="I81" s="105" t="str">
        <f>IF(OR(H81="NA",H81="" ),"NA",IF(H81&lt;=20,5,IF(H81&lt;=40,4,IF(H81&lt;=60,3,IF(H81&lt;=80,2,1)))))</f>
        <v>NA</v>
      </c>
      <c r="J81" s="64" t="s">
        <v>598</v>
      </c>
      <c r="K81" s="105" t="str">
        <f>IF(OR(J81="NA",J81="" ),"NA",IF(J81&lt;=50,5,IF(J81&lt;=60,4,IF(J81&lt;=70,3,IF(J81&lt;=80,2,1)))))</f>
        <v>NA</v>
      </c>
      <c r="L81" s="105" t="str">
        <f t="shared" ref="L81" si="19">IFERROR(IF(AND(H81&lt;&gt;"NA",J81&lt;&gt;"NA"),I81*K81,"NA"),"NA")</f>
        <v>NA</v>
      </c>
      <c r="M81" s="136"/>
      <c r="N81" s="115"/>
    </row>
    <row r="82" spans="1:14" ht="20.100000000000001" hidden="1" customHeight="1" x14ac:dyDescent="0.3">
      <c r="A82" s="118"/>
      <c r="B82" s="29"/>
      <c r="C82" s="60" t="s">
        <v>607</v>
      </c>
      <c r="D82" s="30"/>
      <c r="E82" s="60" t="s">
        <v>608</v>
      </c>
      <c r="F82" s="75" t="s">
        <v>609</v>
      </c>
      <c r="G82" s="63" t="s">
        <v>598</v>
      </c>
      <c r="H82" s="64" t="s">
        <v>598</v>
      </c>
      <c r="I82" s="105" t="str">
        <f t="shared" ref="I82:I90" si="20">IF(OR(H82="NA",H82="" ),"NA",IF(H82&lt;=20,5,IF(H82&lt;=40,4,IF(H82&lt;=60,3,IF(H82&lt;=80,2,1)))))</f>
        <v>NA</v>
      </c>
      <c r="J82" s="64" t="s">
        <v>598</v>
      </c>
      <c r="K82" s="105" t="str">
        <f t="shared" ref="K82:K90" si="21">IF(OR(J82="NA",J82="" ),"NA",IF(J82&lt;=50,5,IF(J82&lt;=60,4,IF(J82&lt;=70,3,IF(J82&lt;=80,2,1)))))</f>
        <v>NA</v>
      </c>
      <c r="L82" s="105" t="str">
        <f t="shared" ref="L82:L89" si="22">IFERROR(IF(AND(H82&lt;&gt;"NA",J82&lt;&gt;"NA"),I82*K82,"NA"),"NA")</f>
        <v>NA</v>
      </c>
      <c r="M82" s="136"/>
      <c r="N82" s="115"/>
    </row>
    <row r="83" spans="1:14" ht="20.100000000000001" hidden="1" customHeight="1" x14ac:dyDescent="0.3">
      <c r="A83" s="118"/>
      <c r="B83" s="29"/>
      <c r="C83" s="55">
        <v>0</v>
      </c>
      <c r="D83" s="55"/>
      <c r="E83" s="55">
        <v>0</v>
      </c>
      <c r="F83" s="55">
        <v>0</v>
      </c>
      <c r="G83" s="63" t="s">
        <v>598</v>
      </c>
      <c r="H83" s="64" t="s">
        <v>598</v>
      </c>
      <c r="I83" s="105" t="str">
        <f t="shared" si="20"/>
        <v>NA</v>
      </c>
      <c r="J83" s="64" t="s">
        <v>598</v>
      </c>
      <c r="K83" s="105" t="str">
        <f t="shared" si="21"/>
        <v>NA</v>
      </c>
      <c r="L83" s="105" t="str">
        <f t="shared" si="22"/>
        <v>NA</v>
      </c>
      <c r="M83" s="136"/>
      <c r="N83" s="115"/>
    </row>
    <row r="84" spans="1:14" ht="20.100000000000001" hidden="1" customHeight="1" x14ac:dyDescent="0.3">
      <c r="A84" s="118"/>
      <c r="B84" s="29"/>
      <c r="C84" s="60" t="s">
        <v>610</v>
      </c>
      <c r="D84" s="30"/>
      <c r="E84" s="75" t="s">
        <v>611</v>
      </c>
      <c r="F84" s="29"/>
      <c r="G84" s="63" t="s">
        <v>598</v>
      </c>
      <c r="H84" s="64" t="s">
        <v>598</v>
      </c>
      <c r="I84" s="105" t="str">
        <f t="shared" si="20"/>
        <v>NA</v>
      </c>
      <c r="J84" s="64" t="s">
        <v>598</v>
      </c>
      <c r="K84" s="105" t="str">
        <f t="shared" si="21"/>
        <v>NA</v>
      </c>
      <c r="L84" s="105" t="str">
        <f t="shared" si="22"/>
        <v>NA</v>
      </c>
      <c r="M84" s="136"/>
      <c r="N84" s="115"/>
    </row>
    <row r="85" spans="1:14" ht="20.100000000000001" hidden="1" customHeight="1" x14ac:dyDescent="0.3">
      <c r="A85" s="118"/>
      <c r="B85" s="29"/>
      <c r="C85" s="55">
        <v>0</v>
      </c>
      <c r="D85" s="30">
        <v>-1</v>
      </c>
      <c r="E85" s="29"/>
      <c r="F85" s="29"/>
      <c r="G85" s="63" t="s">
        <v>598</v>
      </c>
      <c r="H85" s="64" t="s">
        <v>598</v>
      </c>
      <c r="I85" s="105" t="str">
        <f t="shared" si="20"/>
        <v>NA</v>
      </c>
      <c r="J85" s="64" t="s">
        <v>598</v>
      </c>
      <c r="K85" s="105" t="str">
        <f t="shared" si="21"/>
        <v>NA</v>
      </c>
      <c r="L85" s="105" t="str">
        <f t="shared" si="22"/>
        <v>NA</v>
      </c>
      <c r="M85" s="136"/>
      <c r="N85" s="115"/>
    </row>
    <row r="86" spans="1:14" ht="20.100000000000001" hidden="1" customHeight="1" x14ac:dyDescent="0.3">
      <c r="A86" s="118"/>
      <c r="B86" s="29"/>
      <c r="C86" s="119" t="s">
        <v>639</v>
      </c>
      <c r="D86" s="120"/>
      <c r="E86" s="120"/>
      <c r="F86" s="131"/>
      <c r="G86" s="63" t="s">
        <v>598</v>
      </c>
      <c r="H86" s="64" t="s">
        <v>598</v>
      </c>
      <c r="I86" s="105" t="str">
        <f t="shared" si="20"/>
        <v>NA</v>
      </c>
      <c r="J86" s="64" t="s">
        <v>598</v>
      </c>
      <c r="K86" s="105" t="str">
        <f t="shared" si="21"/>
        <v>NA</v>
      </c>
      <c r="L86" s="105" t="str">
        <f t="shared" si="22"/>
        <v>NA</v>
      </c>
      <c r="M86" s="136"/>
      <c r="N86" s="115"/>
    </row>
    <row r="87" spans="1:14" ht="20.100000000000001" hidden="1" customHeight="1" x14ac:dyDescent="0.3">
      <c r="A87" s="118"/>
      <c r="B87" s="29"/>
      <c r="C87" s="128" t="s">
        <v>598</v>
      </c>
      <c r="D87" s="129"/>
      <c r="E87" s="129"/>
      <c r="F87" s="130"/>
      <c r="G87" s="63" t="s">
        <v>598</v>
      </c>
      <c r="H87" s="64" t="s">
        <v>598</v>
      </c>
      <c r="I87" s="105" t="str">
        <f t="shared" si="20"/>
        <v>NA</v>
      </c>
      <c r="J87" s="64" t="s">
        <v>598</v>
      </c>
      <c r="K87" s="105" t="str">
        <f t="shared" si="21"/>
        <v>NA</v>
      </c>
      <c r="L87" s="105" t="str">
        <f t="shared" si="22"/>
        <v>NA</v>
      </c>
      <c r="M87" s="136"/>
      <c r="N87" s="115"/>
    </row>
    <row r="88" spans="1:14" ht="20.100000000000001" hidden="1" customHeight="1" x14ac:dyDescent="0.3">
      <c r="A88" s="118"/>
      <c r="B88" s="29"/>
      <c r="C88" s="63" t="s">
        <v>598</v>
      </c>
      <c r="D88" s="63" t="s">
        <v>598</v>
      </c>
      <c r="E88" s="63" t="s">
        <v>598</v>
      </c>
      <c r="F88" s="63" t="s">
        <v>598</v>
      </c>
      <c r="G88" s="63" t="s">
        <v>598</v>
      </c>
      <c r="H88" s="68" t="s">
        <v>598</v>
      </c>
      <c r="I88" s="105" t="str">
        <f t="shared" si="20"/>
        <v>NA</v>
      </c>
      <c r="J88" s="64" t="s">
        <v>598</v>
      </c>
      <c r="K88" s="105" t="str">
        <f t="shared" si="21"/>
        <v>NA</v>
      </c>
      <c r="L88" s="105" t="str">
        <f t="shared" si="22"/>
        <v>NA</v>
      </c>
      <c r="M88" s="136"/>
      <c r="N88" s="115"/>
    </row>
    <row r="89" spans="1:14" ht="20.100000000000001" hidden="1" customHeight="1" x14ac:dyDescent="0.3">
      <c r="A89" s="118"/>
      <c r="B89" s="29"/>
      <c r="C89" s="63" t="s">
        <v>598</v>
      </c>
      <c r="D89" s="63" t="s">
        <v>598</v>
      </c>
      <c r="E89" s="63" t="s">
        <v>598</v>
      </c>
      <c r="F89" s="63" t="s">
        <v>598</v>
      </c>
      <c r="G89" s="63" t="s">
        <v>598</v>
      </c>
      <c r="H89" s="68" t="s">
        <v>598</v>
      </c>
      <c r="I89" s="105" t="str">
        <f t="shared" si="20"/>
        <v>NA</v>
      </c>
      <c r="J89" s="64" t="s">
        <v>598</v>
      </c>
      <c r="K89" s="105" t="str">
        <f>IF(OR(J89="NA",J89="" ),"NA",IF(J89&lt;=50,5,IF(J89&lt;=60,4,IF(J89&lt;=70,3,IF(J89&lt;=80,2,1)))))</f>
        <v>NA</v>
      </c>
      <c r="L89" s="105" t="str">
        <f t="shared" si="22"/>
        <v>NA</v>
      </c>
      <c r="M89" s="136"/>
      <c r="N89" s="115"/>
    </row>
    <row r="90" spans="1:14" ht="20.100000000000001" hidden="1" customHeight="1" x14ac:dyDescent="0.3">
      <c r="A90" s="118"/>
      <c r="B90" s="29"/>
      <c r="C90" s="63" t="s">
        <v>598</v>
      </c>
      <c r="D90" s="63" t="s">
        <v>598</v>
      </c>
      <c r="E90" s="63" t="s">
        <v>598</v>
      </c>
      <c r="F90" s="63" t="s">
        <v>598</v>
      </c>
      <c r="G90" s="63" t="s">
        <v>598</v>
      </c>
      <c r="H90" s="68" t="s">
        <v>598</v>
      </c>
      <c r="I90" s="105" t="str">
        <f t="shared" si="20"/>
        <v>NA</v>
      </c>
      <c r="J90" s="64" t="s">
        <v>598</v>
      </c>
      <c r="K90" s="105" t="str">
        <f t="shared" si="21"/>
        <v>NA</v>
      </c>
      <c r="L90" s="105" t="str">
        <f t="shared" ref="L90" si="23">IFERROR(IF(AND(H90&lt;&gt;"NA",J90&lt;&gt;"NA"),I90*K90,"NA"),"NA")</f>
        <v>NA</v>
      </c>
      <c r="M90" s="136"/>
      <c r="N90" s="115"/>
    </row>
    <row r="91" spans="1:14" ht="20.100000000000001" hidden="1" customHeight="1" x14ac:dyDescent="0.3">
      <c r="A91" s="118">
        <f>SUM('Master Data'!S1:V1,'Master Data'!S2:T2)</f>
        <v>0</v>
      </c>
      <c r="B91" s="87" t="s">
        <v>592</v>
      </c>
      <c r="C91" s="81"/>
      <c r="D91" s="82"/>
      <c r="E91" s="82"/>
      <c r="F91" s="82"/>
      <c r="G91" s="82"/>
      <c r="H91" s="82"/>
      <c r="I91" s="103" t="s">
        <v>592</v>
      </c>
      <c r="J91" s="82"/>
      <c r="K91" s="103"/>
      <c r="L91" s="103"/>
      <c r="M91" s="82"/>
      <c r="N91" s="83"/>
    </row>
    <row r="92" spans="1:14" ht="20.100000000000001" hidden="1" customHeight="1" x14ac:dyDescent="0.3">
      <c r="A92" s="118"/>
      <c r="B92" s="59"/>
      <c r="C92" s="76" t="s">
        <v>8</v>
      </c>
      <c r="D92" s="77"/>
      <c r="E92" s="132" t="s">
        <v>604</v>
      </c>
      <c r="F92" s="133"/>
      <c r="G92" s="62" t="s">
        <v>597</v>
      </c>
      <c r="H92" s="62" t="s">
        <v>624</v>
      </c>
      <c r="I92" s="104" t="s">
        <v>628</v>
      </c>
      <c r="J92" s="62" t="s">
        <v>625</v>
      </c>
      <c r="K92" s="104" t="s">
        <v>630</v>
      </c>
      <c r="L92" s="104" t="s">
        <v>626</v>
      </c>
      <c r="M92" s="38" t="s">
        <v>617</v>
      </c>
      <c r="N92" s="62" t="s">
        <v>597</v>
      </c>
    </row>
    <row r="93" spans="1:14" ht="20.100000000000001" hidden="1" customHeight="1" x14ac:dyDescent="0.3">
      <c r="A93" s="118"/>
      <c r="B93" s="55">
        <f>VLOOKUP(C93,'Master Data'!$L$2:$M$7,2,0)</f>
        <v>1</v>
      </c>
      <c r="C93" s="54" t="s">
        <v>575</v>
      </c>
      <c r="D93" s="78"/>
      <c r="E93" s="116">
        <v>0</v>
      </c>
      <c r="F93" s="117"/>
      <c r="G93" s="37" t="s">
        <v>598</v>
      </c>
      <c r="H93" s="31" t="s">
        <v>598</v>
      </c>
      <c r="I93" s="105" t="str">
        <f>IF(OR(H93="NA",H93="" ),"NA",IF(H93&lt;=20,5,IF(H93&lt;=40,4,IF(H93&lt;=60,3,IF(H93&lt;=80,2,1)))))</f>
        <v>NA</v>
      </c>
      <c r="J93" s="47" t="s">
        <v>598</v>
      </c>
      <c r="K93" s="105" t="str">
        <f>IF(OR(J93="NA",J93="" ),"NA",IF(J93&lt;=50,5,IF(J93&lt;=60,4,IF(J93&lt;=70,3,IF(J93&lt;=80,2,1)))))</f>
        <v>NA</v>
      </c>
      <c r="L93" s="105" t="str">
        <f t="shared" ref="L93" si="24">IFERROR(IF(AND(H93&lt;&gt;"NA",J93&lt;&gt;"NA"),I93*K93,"NA"),"NA")</f>
        <v>NA</v>
      </c>
      <c r="M93" s="136"/>
      <c r="N93" s="115"/>
    </row>
    <row r="94" spans="1:14" ht="20.100000000000001" hidden="1" customHeight="1" x14ac:dyDescent="0.3">
      <c r="A94" s="118"/>
      <c r="B94" s="29"/>
      <c r="C94" s="119" t="s">
        <v>639</v>
      </c>
      <c r="D94" s="120"/>
      <c r="E94" s="120"/>
      <c r="F94" s="131"/>
      <c r="G94" s="37" t="s">
        <v>598</v>
      </c>
      <c r="H94" s="31" t="s">
        <v>598</v>
      </c>
      <c r="I94" s="105" t="str">
        <f t="shared" ref="I94:I102" si="25">IF(OR(H94="NA",H94="" ),"NA",IF(H94&lt;=20,5,IF(H94&lt;=40,4,IF(H94&lt;=60,3,IF(H94&lt;=80,2,1)))))</f>
        <v>NA</v>
      </c>
      <c r="J94" s="47" t="s">
        <v>598</v>
      </c>
      <c r="K94" s="105" t="str">
        <f t="shared" ref="K94:K102" si="26">IF(OR(J94="NA",J94="" ),"NA",IF(J94&lt;=50,5,IF(J94&lt;=60,4,IF(J94&lt;=70,3,IF(J94&lt;=80,2,1)))))</f>
        <v>NA</v>
      </c>
      <c r="L94" s="105" t="str">
        <f>IFERROR(IF(AND(H94&lt;&gt;"NA",J94&lt;&gt;"NA"),I94*K94,"NA"),"NA")</f>
        <v>NA</v>
      </c>
      <c r="M94" s="136"/>
      <c r="N94" s="115"/>
    </row>
    <row r="95" spans="1:14" ht="20.100000000000001" hidden="1" customHeight="1" x14ac:dyDescent="0.3">
      <c r="A95" s="118"/>
      <c r="B95" s="29"/>
      <c r="C95" s="128" t="s">
        <v>598</v>
      </c>
      <c r="D95" s="129"/>
      <c r="E95" s="129"/>
      <c r="F95" s="130"/>
      <c r="G95" s="37" t="s">
        <v>598</v>
      </c>
      <c r="H95" s="31" t="s">
        <v>598</v>
      </c>
      <c r="I95" s="105" t="str">
        <f t="shared" si="25"/>
        <v>NA</v>
      </c>
      <c r="J95" s="47" t="s">
        <v>598</v>
      </c>
      <c r="K95" s="105" t="str">
        <f t="shared" si="26"/>
        <v>NA</v>
      </c>
      <c r="L95" s="105" t="str">
        <f t="shared" ref="L95:L100" si="27">IFERROR(IF(AND(H95&lt;&gt;"NA",J95&lt;&gt;"NA"),I95*K95,"NA"),"NA")</f>
        <v>NA</v>
      </c>
      <c r="M95" s="136"/>
      <c r="N95" s="115"/>
    </row>
    <row r="96" spans="1:14" ht="15" hidden="1" customHeight="1" x14ac:dyDescent="0.3">
      <c r="A96" s="79"/>
      <c r="B96" s="29"/>
      <c r="C96" s="63" t="s">
        <v>598</v>
      </c>
      <c r="D96" s="63" t="s">
        <v>598</v>
      </c>
      <c r="E96" s="63" t="s">
        <v>598</v>
      </c>
      <c r="F96" s="63" t="s">
        <v>598</v>
      </c>
      <c r="G96" s="37" t="s">
        <v>598</v>
      </c>
      <c r="H96" s="31" t="s">
        <v>598</v>
      </c>
      <c r="I96" s="105" t="str">
        <f t="shared" si="25"/>
        <v>NA</v>
      </c>
      <c r="J96" s="47" t="s">
        <v>598</v>
      </c>
      <c r="K96" s="105" t="str">
        <f t="shared" si="26"/>
        <v>NA</v>
      </c>
      <c r="L96" s="105" t="str">
        <f t="shared" si="27"/>
        <v>NA</v>
      </c>
      <c r="M96" s="136"/>
      <c r="N96" s="115"/>
    </row>
    <row r="97" spans="1:14" ht="15" hidden="1" customHeight="1" x14ac:dyDescent="0.3">
      <c r="A97" s="79"/>
      <c r="B97" s="29"/>
      <c r="C97" s="63" t="s">
        <v>598</v>
      </c>
      <c r="D97" s="63" t="s">
        <v>598</v>
      </c>
      <c r="E97" s="63" t="s">
        <v>598</v>
      </c>
      <c r="F97" s="63" t="s">
        <v>598</v>
      </c>
      <c r="G97" s="37" t="s">
        <v>598</v>
      </c>
      <c r="H97" s="31" t="s">
        <v>598</v>
      </c>
      <c r="I97" s="105" t="str">
        <f t="shared" si="25"/>
        <v>NA</v>
      </c>
      <c r="J97" s="47" t="s">
        <v>598</v>
      </c>
      <c r="K97" s="105" t="str">
        <f t="shared" si="26"/>
        <v>NA</v>
      </c>
      <c r="L97" s="105" t="str">
        <f t="shared" si="27"/>
        <v>NA</v>
      </c>
      <c r="M97" s="136"/>
      <c r="N97" s="115"/>
    </row>
    <row r="98" spans="1:14" ht="15" hidden="1" customHeight="1" x14ac:dyDescent="0.3">
      <c r="A98" s="79"/>
      <c r="B98" s="29"/>
      <c r="C98" s="63" t="s">
        <v>598</v>
      </c>
      <c r="D98" s="63" t="s">
        <v>598</v>
      </c>
      <c r="E98" s="63" t="s">
        <v>598</v>
      </c>
      <c r="F98" s="63" t="s">
        <v>598</v>
      </c>
      <c r="G98" s="37" t="s">
        <v>598</v>
      </c>
      <c r="H98" s="31" t="s">
        <v>598</v>
      </c>
      <c r="I98" s="105" t="str">
        <f t="shared" si="25"/>
        <v>NA</v>
      </c>
      <c r="J98" s="47" t="s">
        <v>598</v>
      </c>
      <c r="K98" s="105" t="str">
        <f t="shared" si="26"/>
        <v>NA</v>
      </c>
      <c r="L98" s="105" t="str">
        <f t="shared" si="27"/>
        <v>NA</v>
      </c>
      <c r="M98" s="136"/>
      <c r="N98" s="115"/>
    </row>
    <row r="99" spans="1:14" ht="15" hidden="1" customHeight="1" x14ac:dyDescent="0.3">
      <c r="A99" s="79"/>
      <c r="B99" s="29"/>
      <c r="C99" s="63" t="s">
        <v>598</v>
      </c>
      <c r="D99" s="63" t="s">
        <v>598</v>
      </c>
      <c r="E99" s="63" t="s">
        <v>598</v>
      </c>
      <c r="F99" s="63" t="s">
        <v>598</v>
      </c>
      <c r="G99" s="37" t="s">
        <v>598</v>
      </c>
      <c r="H99" s="31" t="s">
        <v>598</v>
      </c>
      <c r="I99" s="105" t="str">
        <f t="shared" si="25"/>
        <v>NA</v>
      </c>
      <c r="J99" s="47" t="s">
        <v>598</v>
      </c>
      <c r="K99" s="105" t="str">
        <f t="shared" si="26"/>
        <v>NA</v>
      </c>
      <c r="L99" s="105" t="str">
        <f t="shared" si="27"/>
        <v>NA</v>
      </c>
      <c r="M99" s="136"/>
      <c r="N99" s="115"/>
    </row>
    <row r="100" spans="1:14" ht="15" hidden="1" customHeight="1" x14ac:dyDescent="0.3">
      <c r="A100" s="79"/>
      <c r="B100" s="29"/>
      <c r="C100" s="63" t="s">
        <v>598</v>
      </c>
      <c r="D100" s="63" t="s">
        <v>598</v>
      </c>
      <c r="E100" s="63" t="s">
        <v>598</v>
      </c>
      <c r="F100" s="63" t="s">
        <v>598</v>
      </c>
      <c r="G100" s="37" t="s">
        <v>598</v>
      </c>
      <c r="H100" s="31" t="s">
        <v>598</v>
      </c>
      <c r="I100" s="105" t="str">
        <f t="shared" si="25"/>
        <v>NA</v>
      </c>
      <c r="J100" s="47" t="s">
        <v>598</v>
      </c>
      <c r="K100" s="105" t="str">
        <f>IF(OR(J100="NA",J100="" ),"NA",IF(J100&lt;=50,5,IF(J100&lt;=60,4,IF(J100&lt;=70,3,IF(J100&lt;=80,2,1)))))</f>
        <v>NA</v>
      </c>
      <c r="L100" s="105" t="str">
        <f t="shared" si="27"/>
        <v>NA</v>
      </c>
      <c r="M100" s="136"/>
      <c r="N100" s="115"/>
    </row>
    <row r="101" spans="1:14" ht="15" hidden="1" customHeight="1" x14ac:dyDescent="0.3">
      <c r="A101" s="79"/>
      <c r="B101" s="29"/>
      <c r="C101" s="63" t="s">
        <v>598</v>
      </c>
      <c r="D101" s="63" t="s">
        <v>598</v>
      </c>
      <c r="E101" s="63" t="s">
        <v>598</v>
      </c>
      <c r="F101" s="63" t="s">
        <v>598</v>
      </c>
      <c r="G101" s="37" t="s">
        <v>598</v>
      </c>
      <c r="H101" s="31" t="s">
        <v>598</v>
      </c>
      <c r="I101" s="105" t="str">
        <f t="shared" si="25"/>
        <v>NA</v>
      </c>
      <c r="J101" s="47" t="s">
        <v>598</v>
      </c>
      <c r="K101" s="105" t="str">
        <f t="shared" si="26"/>
        <v>NA</v>
      </c>
      <c r="L101" s="105" t="str">
        <f t="shared" ref="L101:L102" si="28">IFERROR(IF(AND(H101&lt;&gt;"NA",J101&lt;&gt;"NA"),I101*K101,"NA"),"NA")</f>
        <v>NA</v>
      </c>
      <c r="M101" s="136"/>
      <c r="N101" s="115"/>
    </row>
    <row r="102" spans="1:14" ht="15" hidden="1" customHeight="1" x14ac:dyDescent="0.3">
      <c r="A102" s="79"/>
      <c r="B102" s="29"/>
      <c r="C102" s="63" t="s">
        <v>598</v>
      </c>
      <c r="D102" s="63" t="s">
        <v>598</v>
      </c>
      <c r="E102" s="63" t="s">
        <v>598</v>
      </c>
      <c r="F102" s="63" t="s">
        <v>598</v>
      </c>
      <c r="G102" s="37" t="s">
        <v>598</v>
      </c>
      <c r="H102" s="31" t="s">
        <v>598</v>
      </c>
      <c r="I102" s="105" t="str">
        <f t="shared" si="25"/>
        <v>NA</v>
      </c>
      <c r="J102" s="47" t="s">
        <v>598</v>
      </c>
      <c r="K102" s="105" t="str">
        <f t="shared" si="26"/>
        <v>NA</v>
      </c>
      <c r="L102" s="105" t="str">
        <f t="shared" si="28"/>
        <v>NA</v>
      </c>
      <c r="M102" s="136"/>
      <c r="N102" s="115"/>
    </row>
    <row r="103" spans="1:14" ht="20.100000000000001" hidden="1" customHeight="1" x14ac:dyDescent="0.3">
      <c r="A103" s="118">
        <f>SUM('Master Data'!S1:V1,'Master Data'!S2:U2)</f>
        <v>0</v>
      </c>
      <c r="B103" s="29"/>
      <c r="C103" s="81"/>
      <c r="D103" s="82"/>
      <c r="E103" s="82"/>
      <c r="F103" s="82"/>
      <c r="G103" s="82"/>
      <c r="H103" s="82"/>
      <c r="I103" s="103" t="s">
        <v>593</v>
      </c>
      <c r="J103" s="82"/>
      <c r="K103" s="103"/>
      <c r="L103" s="103"/>
      <c r="M103" s="82"/>
      <c r="N103" s="83"/>
    </row>
    <row r="104" spans="1:14" ht="20.100000000000001" hidden="1" customHeight="1" x14ac:dyDescent="0.3">
      <c r="A104" s="118"/>
      <c r="B104" s="29"/>
      <c r="C104" s="60" t="s">
        <v>8</v>
      </c>
      <c r="D104" s="77"/>
      <c r="E104" s="134" t="s">
        <v>614</v>
      </c>
      <c r="F104" s="134"/>
      <c r="G104" s="62" t="s">
        <v>597</v>
      </c>
      <c r="H104" s="62" t="s">
        <v>624</v>
      </c>
      <c r="I104" s="104" t="s">
        <v>628</v>
      </c>
      <c r="J104" s="62" t="s">
        <v>625</v>
      </c>
      <c r="K104" s="104" t="s">
        <v>630</v>
      </c>
      <c r="L104" s="104" t="s">
        <v>626</v>
      </c>
      <c r="M104" s="38" t="s">
        <v>617</v>
      </c>
      <c r="N104" s="62" t="s">
        <v>597</v>
      </c>
    </row>
    <row r="105" spans="1:14" ht="20.100000000000001" hidden="1" customHeight="1" x14ac:dyDescent="0.3">
      <c r="A105" s="118"/>
      <c r="B105" s="55">
        <f>VLOOKUP(C105,'Master Data'!$L$2:$M$7,2,0)</f>
        <v>1</v>
      </c>
      <c r="C105" s="55" t="s">
        <v>575</v>
      </c>
      <c r="D105" s="78"/>
      <c r="E105" s="144">
        <v>0</v>
      </c>
      <c r="F105" s="144"/>
      <c r="G105" s="63" t="s">
        <v>598</v>
      </c>
      <c r="H105" s="68" t="s">
        <v>598</v>
      </c>
      <c r="I105" s="105" t="str">
        <f>IF(OR(H105="NA",H105="" ),"NA",IF(H105&lt;=20,5,IF(H105&lt;=40,4,IF(H105&lt;=60,3,IF(H105&lt;=80,2,1)))))</f>
        <v>NA</v>
      </c>
      <c r="J105" s="64" t="s">
        <v>598</v>
      </c>
      <c r="K105" s="105" t="str">
        <f>IF(OR(J105="NA",J105="" ),"NA",IF(J105&lt;=50,5,IF(J105&lt;=60,4,IF(J105&lt;=70,3,IF(J105&lt;=80,2,1)))))</f>
        <v>NA</v>
      </c>
      <c r="L105" s="105" t="str">
        <f t="shared" ref="L105" si="29">IFERROR(IF(AND(H105&lt;&gt;"NA",J105&lt;&gt;"NA"),I105*K105,"NA"),"NA")</f>
        <v>NA</v>
      </c>
      <c r="M105" s="136"/>
      <c r="N105" s="115"/>
    </row>
    <row r="106" spans="1:14" ht="20.100000000000001" hidden="1" customHeight="1" x14ac:dyDescent="0.3">
      <c r="A106" s="118"/>
      <c r="B106" s="80"/>
      <c r="C106" s="119" t="s">
        <v>639</v>
      </c>
      <c r="D106" s="120"/>
      <c r="E106" s="120"/>
      <c r="F106" s="131"/>
      <c r="G106" s="63" t="s">
        <v>598</v>
      </c>
      <c r="H106" s="68" t="s">
        <v>598</v>
      </c>
      <c r="I106" s="105" t="str">
        <f t="shared" ref="I106:I114" si="30">IF(OR(H106="NA",H106="" ),"NA",IF(H106&lt;=20,5,IF(H106&lt;=40,4,IF(H106&lt;=60,3,IF(H106&lt;=80,2,1)))))</f>
        <v>NA</v>
      </c>
      <c r="J106" s="64" t="s">
        <v>598</v>
      </c>
      <c r="K106" s="105" t="str">
        <f t="shared" ref="K106:K114" si="31">IF(OR(J106="NA",J106="" ),"NA",IF(J106&lt;=50,5,IF(J106&lt;=60,4,IF(J106&lt;=70,3,IF(J106&lt;=80,2,1)))))</f>
        <v>NA</v>
      </c>
      <c r="L106" s="105" t="str">
        <f t="shared" ref="L106:L114" si="32">IFERROR(IF(AND(H106&lt;&gt;"NA",J106&lt;&gt;"NA"),I106*K106,"NA"),"NA")</f>
        <v>NA</v>
      </c>
      <c r="M106" s="136"/>
      <c r="N106" s="115"/>
    </row>
    <row r="107" spans="1:14" ht="20.100000000000001" hidden="1" customHeight="1" x14ac:dyDescent="0.3">
      <c r="A107" s="118"/>
      <c r="B107" s="80"/>
      <c r="C107" s="128" t="s">
        <v>598</v>
      </c>
      <c r="D107" s="129"/>
      <c r="E107" s="129"/>
      <c r="F107" s="130"/>
      <c r="G107" s="63" t="s">
        <v>598</v>
      </c>
      <c r="H107" s="68" t="s">
        <v>598</v>
      </c>
      <c r="I107" s="105" t="str">
        <f>IF(OR(H107="NA",H107="" ),"NA",IF(H107&lt;=20,5,IF(H107&lt;=40,4,IF(H107&lt;=60,3,IF(H107&lt;=80,2,1)))))</f>
        <v>NA</v>
      </c>
      <c r="J107" s="64" t="s">
        <v>598</v>
      </c>
      <c r="K107" s="105" t="str">
        <f t="shared" si="31"/>
        <v>NA</v>
      </c>
      <c r="L107" s="105" t="str">
        <f t="shared" si="32"/>
        <v>NA</v>
      </c>
      <c r="M107" s="136"/>
      <c r="N107" s="115"/>
    </row>
    <row r="108" spans="1:14" ht="15.75" hidden="1" customHeight="1" x14ac:dyDescent="0.3">
      <c r="A108" s="118"/>
      <c r="B108" s="29"/>
      <c r="C108" s="63" t="s">
        <v>598</v>
      </c>
      <c r="D108" s="63" t="s">
        <v>598</v>
      </c>
      <c r="E108" s="63" t="s">
        <v>598</v>
      </c>
      <c r="F108" s="63" t="s">
        <v>598</v>
      </c>
      <c r="G108" s="63" t="s">
        <v>598</v>
      </c>
      <c r="H108" s="68" t="s">
        <v>598</v>
      </c>
      <c r="I108" s="105" t="str">
        <f t="shared" si="30"/>
        <v>NA</v>
      </c>
      <c r="J108" s="64" t="s">
        <v>598</v>
      </c>
      <c r="K108" s="105" t="str">
        <f t="shared" si="31"/>
        <v>NA</v>
      </c>
      <c r="L108" s="105" t="str">
        <f t="shared" si="32"/>
        <v>NA</v>
      </c>
      <c r="M108" s="136"/>
      <c r="N108" s="115"/>
    </row>
    <row r="109" spans="1:14" ht="15.75" hidden="1" customHeight="1" x14ac:dyDescent="0.3">
      <c r="A109" s="118"/>
      <c r="B109" s="29"/>
      <c r="C109" s="63" t="s">
        <v>598</v>
      </c>
      <c r="D109" s="63" t="s">
        <v>598</v>
      </c>
      <c r="E109" s="63" t="s">
        <v>598</v>
      </c>
      <c r="F109" s="63" t="s">
        <v>598</v>
      </c>
      <c r="G109" s="63" t="s">
        <v>598</v>
      </c>
      <c r="H109" s="68" t="s">
        <v>598</v>
      </c>
      <c r="I109" s="105" t="str">
        <f t="shared" si="30"/>
        <v>NA</v>
      </c>
      <c r="J109" s="64" t="s">
        <v>598</v>
      </c>
      <c r="K109" s="105" t="str">
        <f t="shared" si="31"/>
        <v>NA</v>
      </c>
      <c r="L109" s="105" t="str">
        <f t="shared" si="32"/>
        <v>NA</v>
      </c>
      <c r="M109" s="136"/>
      <c r="N109" s="115"/>
    </row>
    <row r="110" spans="1:14" ht="15.75" hidden="1" customHeight="1" x14ac:dyDescent="0.3">
      <c r="A110" s="118"/>
      <c r="B110" s="29"/>
      <c r="C110" s="63" t="s">
        <v>598</v>
      </c>
      <c r="D110" s="63" t="s">
        <v>598</v>
      </c>
      <c r="E110" s="63" t="s">
        <v>598</v>
      </c>
      <c r="F110" s="63" t="s">
        <v>598</v>
      </c>
      <c r="G110" s="63" t="s">
        <v>598</v>
      </c>
      <c r="H110" s="68" t="s">
        <v>598</v>
      </c>
      <c r="I110" s="105" t="str">
        <f t="shared" si="30"/>
        <v>NA</v>
      </c>
      <c r="J110" s="64" t="s">
        <v>598</v>
      </c>
      <c r="K110" s="105" t="str">
        <f t="shared" si="31"/>
        <v>NA</v>
      </c>
      <c r="L110" s="105" t="str">
        <f t="shared" si="32"/>
        <v>NA</v>
      </c>
      <c r="M110" s="136"/>
      <c r="N110" s="115"/>
    </row>
    <row r="111" spans="1:14" ht="15.75" hidden="1" customHeight="1" x14ac:dyDescent="0.3">
      <c r="A111" s="118"/>
      <c r="B111" s="29"/>
      <c r="C111" s="63" t="s">
        <v>598</v>
      </c>
      <c r="D111" s="63" t="s">
        <v>598</v>
      </c>
      <c r="E111" s="63" t="s">
        <v>598</v>
      </c>
      <c r="F111" s="63" t="s">
        <v>598</v>
      </c>
      <c r="G111" s="63" t="s">
        <v>598</v>
      </c>
      <c r="H111" s="68" t="s">
        <v>598</v>
      </c>
      <c r="I111" s="105" t="str">
        <f t="shared" si="30"/>
        <v>NA</v>
      </c>
      <c r="J111" s="64" t="s">
        <v>598</v>
      </c>
      <c r="K111" s="105" t="str">
        <f t="shared" si="31"/>
        <v>NA</v>
      </c>
      <c r="L111" s="105" t="str">
        <f t="shared" si="32"/>
        <v>NA</v>
      </c>
      <c r="M111" s="136"/>
      <c r="N111" s="115"/>
    </row>
    <row r="112" spans="1:14" ht="15.75" hidden="1" customHeight="1" x14ac:dyDescent="0.3">
      <c r="A112" s="118"/>
      <c r="B112" s="29"/>
      <c r="C112" s="63" t="s">
        <v>598</v>
      </c>
      <c r="D112" s="63" t="s">
        <v>598</v>
      </c>
      <c r="E112" s="63" t="s">
        <v>598</v>
      </c>
      <c r="F112" s="63" t="s">
        <v>598</v>
      </c>
      <c r="G112" s="63" t="s">
        <v>598</v>
      </c>
      <c r="H112" s="68" t="s">
        <v>598</v>
      </c>
      <c r="I112" s="105" t="str">
        <f t="shared" si="30"/>
        <v>NA</v>
      </c>
      <c r="J112" s="64" t="s">
        <v>598</v>
      </c>
      <c r="K112" s="105" t="str">
        <f t="shared" si="31"/>
        <v>NA</v>
      </c>
      <c r="L112" s="105" t="str">
        <f t="shared" si="32"/>
        <v>NA</v>
      </c>
      <c r="M112" s="136"/>
      <c r="N112" s="115"/>
    </row>
    <row r="113" spans="1:14" ht="15.75" hidden="1" customHeight="1" x14ac:dyDescent="0.3">
      <c r="A113" s="118"/>
      <c r="B113" s="29"/>
      <c r="C113" s="63" t="s">
        <v>598</v>
      </c>
      <c r="D113" s="63" t="s">
        <v>598</v>
      </c>
      <c r="E113" s="63" t="s">
        <v>598</v>
      </c>
      <c r="F113" s="63" t="s">
        <v>598</v>
      </c>
      <c r="G113" s="63" t="s">
        <v>598</v>
      </c>
      <c r="H113" s="68" t="s">
        <v>598</v>
      </c>
      <c r="I113" s="105" t="str">
        <f t="shared" si="30"/>
        <v>NA</v>
      </c>
      <c r="J113" s="64" t="s">
        <v>598</v>
      </c>
      <c r="K113" s="105" t="str">
        <f t="shared" si="31"/>
        <v>NA</v>
      </c>
      <c r="L113" s="105" t="str">
        <f t="shared" si="32"/>
        <v>NA</v>
      </c>
      <c r="M113" s="136"/>
      <c r="N113" s="115"/>
    </row>
    <row r="114" spans="1:14" ht="15.75" hidden="1" customHeight="1" x14ac:dyDescent="0.3">
      <c r="A114" s="118"/>
      <c r="B114" s="29"/>
      <c r="C114" s="63" t="s">
        <v>598</v>
      </c>
      <c r="D114" s="63" t="s">
        <v>598</v>
      </c>
      <c r="E114" s="63" t="s">
        <v>598</v>
      </c>
      <c r="F114" s="63" t="s">
        <v>598</v>
      </c>
      <c r="G114" s="63" t="s">
        <v>598</v>
      </c>
      <c r="H114" s="68" t="s">
        <v>598</v>
      </c>
      <c r="I114" s="105" t="str">
        <f t="shared" si="30"/>
        <v>NA</v>
      </c>
      <c r="J114" s="64" t="s">
        <v>598</v>
      </c>
      <c r="K114" s="105" t="str">
        <f t="shared" si="31"/>
        <v>NA</v>
      </c>
      <c r="L114" s="105" t="str">
        <f t="shared" si="32"/>
        <v>NA</v>
      </c>
      <c r="M114" s="136"/>
      <c r="N114" s="115"/>
    </row>
    <row r="115" spans="1:14" ht="20.100000000000001" hidden="1" customHeight="1" x14ac:dyDescent="0.3">
      <c r="A115" s="118">
        <f>SUM('Master Data'!S1:V2)</f>
        <v>0</v>
      </c>
      <c r="B115" s="29"/>
      <c r="C115" s="81"/>
      <c r="D115" s="82"/>
      <c r="E115" s="82"/>
      <c r="F115" s="82"/>
      <c r="G115" s="82"/>
      <c r="H115" s="82"/>
      <c r="I115" s="103" t="s">
        <v>498</v>
      </c>
      <c r="J115" s="82"/>
      <c r="K115" s="103"/>
      <c r="L115" s="103"/>
      <c r="M115" s="82"/>
      <c r="N115" s="83"/>
    </row>
    <row r="116" spans="1:14" ht="20.100000000000001" hidden="1" customHeight="1" x14ac:dyDescent="0.3">
      <c r="A116" s="118"/>
      <c r="B116" s="59"/>
      <c r="C116" s="60" t="s">
        <v>642</v>
      </c>
      <c r="D116" s="29"/>
      <c r="E116" s="119" t="s">
        <v>639</v>
      </c>
      <c r="F116" s="120"/>
      <c r="G116" s="62" t="s">
        <v>597</v>
      </c>
      <c r="H116" s="62" t="s">
        <v>624</v>
      </c>
      <c r="I116" s="104" t="s">
        <v>628</v>
      </c>
      <c r="J116" s="62" t="s">
        <v>625</v>
      </c>
      <c r="K116" s="104" t="s">
        <v>630</v>
      </c>
      <c r="L116" s="104" t="s">
        <v>626</v>
      </c>
      <c r="M116" s="38" t="s">
        <v>616</v>
      </c>
      <c r="N116" s="62" t="s">
        <v>597</v>
      </c>
    </row>
    <row r="117" spans="1:14" ht="20.100000000000001" hidden="1" customHeight="1" x14ac:dyDescent="0.3">
      <c r="A117" s="118"/>
      <c r="B117" s="55" t="e">
        <f>VLOOKUP(C117,'Master Data'!$L$2:$M$7,2,0)</f>
        <v>#N/A</v>
      </c>
      <c r="C117" s="55" t="s">
        <v>598</v>
      </c>
      <c r="D117" s="46" t="s">
        <v>598</v>
      </c>
      <c r="E117" s="121" t="s">
        <v>598</v>
      </c>
      <c r="F117" s="122"/>
      <c r="G117" s="63" t="s">
        <v>671</v>
      </c>
      <c r="H117" s="55"/>
      <c r="I117" s="105" t="str">
        <f>IF(OR(H117="NA",H117="" ),"NA",IF(H117&lt;=20,5,IF(H117&lt;=40,4,IF(H117&lt;=60,3,IF(H117&lt;=80,2,1)))))</f>
        <v>NA</v>
      </c>
      <c r="J117" s="53"/>
      <c r="K117" s="105" t="str">
        <f>IF(OR(J117="NA",J117="" ),"NA",IF(J117&lt;=50,5,IF(J117&lt;=60,4,IF(J117&lt;=70,3,IF(J117&lt;=80,2,1)))))</f>
        <v>NA</v>
      </c>
      <c r="L117" s="105" t="str">
        <f t="shared" ref="L117:L126" si="33">IFERROR(IF(AND(H117&lt;&gt;"NA",J117&lt;&gt;"NA"),I117*K117,"NA"),"NA")</f>
        <v>NA</v>
      </c>
      <c r="M117" s="123"/>
      <c r="N117" s="115"/>
    </row>
    <row r="118" spans="1:14" hidden="1" x14ac:dyDescent="0.3">
      <c r="A118" s="118"/>
      <c r="B118" s="29"/>
      <c r="C118" s="63" t="s">
        <v>598</v>
      </c>
      <c r="D118" s="29"/>
      <c r="E118" s="63" t="s">
        <v>598</v>
      </c>
      <c r="F118" s="63" t="s">
        <v>598</v>
      </c>
      <c r="G118" s="63" t="s">
        <v>598</v>
      </c>
      <c r="H118" s="68" t="s">
        <v>598</v>
      </c>
      <c r="I118" s="105" t="str">
        <f t="shared" ref="I118:I126" si="34">IF(OR(H118="NA",H118="" ),"NA",IF(H118&lt;=20,5,IF(H118&lt;=40,4,IF(H118&lt;=60,3,IF(H118&lt;=80,2,1)))))</f>
        <v>NA</v>
      </c>
      <c r="J118" s="64" t="s">
        <v>598</v>
      </c>
      <c r="K118" s="105" t="str">
        <f t="shared" ref="K118:K126" si="35">IF(OR(J118="NA",J118="" ),"NA",IF(J118&lt;=50,5,IF(J118&lt;=60,4,IF(J118&lt;=70,3,IF(J118&lt;=80,2,1)))))</f>
        <v>NA</v>
      </c>
      <c r="L118" s="105" t="str">
        <f t="shared" si="33"/>
        <v>NA</v>
      </c>
      <c r="M118" s="123"/>
      <c r="N118" s="115"/>
    </row>
    <row r="119" spans="1:14" hidden="1" x14ac:dyDescent="0.3">
      <c r="A119" s="118"/>
      <c r="B119" s="29"/>
      <c r="C119" s="63" t="s">
        <v>598</v>
      </c>
      <c r="D119" s="29"/>
      <c r="E119" s="63" t="s">
        <v>598</v>
      </c>
      <c r="F119" s="63" t="s">
        <v>598</v>
      </c>
      <c r="G119" s="63" t="s">
        <v>598</v>
      </c>
      <c r="H119" s="68" t="s">
        <v>598</v>
      </c>
      <c r="I119" s="105" t="str">
        <f t="shared" si="34"/>
        <v>NA</v>
      </c>
      <c r="J119" s="64" t="s">
        <v>598</v>
      </c>
      <c r="K119" s="105" t="str">
        <f t="shared" si="35"/>
        <v>NA</v>
      </c>
      <c r="L119" s="105" t="str">
        <f t="shared" si="33"/>
        <v>NA</v>
      </c>
      <c r="M119" s="123"/>
      <c r="N119" s="115"/>
    </row>
    <row r="120" spans="1:14" hidden="1" x14ac:dyDescent="0.3">
      <c r="A120" s="118"/>
      <c r="B120" s="29"/>
      <c r="C120" s="63" t="s">
        <v>598</v>
      </c>
      <c r="D120" s="29"/>
      <c r="E120" s="63" t="s">
        <v>598</v>
      </c>
      <c r="F120" s="63" t="s">
        <v>598</v>
      </c>
      <c r="G120" s="63" t="s">
        <v>598</v>
      </c>
      <c r="H120" s="68" t="s">
        <v>598</v>
      </c>
      <c r="I120" s="105" t="str">
        <f t="shared" si="34"/>
        <v>NA</v>
      </c>
      <c r="J120" s="64" t="s">
        <v>598</v>
      </c>
      <c r="K120" s="105" t="str">
        <f t="shared" si="35"/>
        <v>NA</v>
      </c>
      <c r="L120" s="105" t="str">
        <f t="shared" si="33"/>
        <v>NA</v>
      </c>
      <c r="M120" s="123"/>
      <c r="N120" s="115"/>
    </row>
    <row r="121" spans="1:14" hidden="1" x14ac:dyDescent="0.3">
      <c r="A121" s="118"/>
      <c r="B121" s="29"/>
      <c r="C121" s="63" t="s">
        <v>598</v>
      </c>
      <c r="D121" s="29"/>
      <c r="E121" s="63" t="s">
        <v>598</v>
      </c>
      <c r="F121" s="63" t="s">
        <v>598</v>
      </c>
      <c r="G121" s="63" t="s">
        <v>598</v>
      </c>
      <c r="H121" s="68" t="s">
        <v>598</v>
      </c>
      <c r="I121" s="105" t="str">
        <f t="shared" si="34"/>
        <v>NA</v>
      </c>
      <c r="J121" s="64" t="s">
        <v>598</v>
      </c>
      <c r="K121" s="105" t="str">
        <f t="shared" si="35"/>
        <v>NA</v>
      </c>
      <c r="L121" s="105" t="str">
        <f t="shared" si="33"/>
        <v>NA</v>
      </c>
      <c r="M121" s="123"/>
      <c r="N121" s="115"/>
    </row>
    <row r="122" spans="1:14" hidden="1" x14ac:dyDescent="0.3">
      <c r="A122" s="118"/>
      <c r="B122" s="29"/>
      <c r="C122" s="63" t="s">
        <v>598</v>
      </c>
      <c r="D122" s="29"/>
      <c r="E122" s="63" t="s">
        <v>598</v>
      </c>
      <c r="F122" s="63" t="s">
        <v>598</v>
      </c>
      <c r="G122" s="63" t="s">
        <v>598</v>
      </c>
      <c r="H122" s="68" t="s">
        <v>598</v>
      </c>
      <c r="I122" s="105" t="str">
        <f t="shared" si="34"/>
        <v>NA</v>
      </c>
      <c r="J122" s="64" t="s">
        <v>598</v>
      </c>
      <c r="K122" s="105" t="str">
        <f t="shared" si="35"/>
        <v>NA</v>
      </c>
      <c r="L122" s="105" t="str">
        <f t="shared" si="33"/>
        <v>NA</v>
      </c>
      <c r="M122" s="123"/>
      <c r="N122" s="115"/>
    </row>
    <row r="123" spans="1:14" hidden="1" x14ac:dyDescent="0.3">
      <c r="A123" s="118"/>
      <c r="B123" s="29"/>
      <c r="C123" s="63" t="s">
        <v>598</v>
      </c>
      <c r="D123" s="29"/>
      <c r="E123" s="63" t="s">
        <v>598</v>
      </c>
      <c r="F123" s="63" t="s">
        <v>598</v>
      </c>
      <c r="G123" s="63" t="s">
        <v>598</v>
      </c>
      <c r="H123" s="68" t="s">
        <v>598</v>
      </c>
      <c r="I123" s="105" t="str">
        <f t="shared" si="34"/>
        <v>NA</v>
      </c>
      <c r="J123" s="64" t="s">
        <v>598</v>
      </c>
      <c r="K123" s="105" t="str">
        <f t="shared" si="35"/>
        <v>NA</v>
      </c>
      <c r="L123" s="105" t="str">
        <f t="shared" si="33"/>
        <v>NA</v>
      </c>
      <c r="M123" s="123"/>
      <c r="N123" s="115"/>
    </row>
    <row r="124" spans="1:14" hidden="1" x14ac:dyDescent="0.3">
      <c r="A124" s="118"/>
      <c r="B124" s="29"/>
      <c r="C124" s="63" t="s">
        <v>598</v>
      </c>
      <c r="D124" s="29"/>
      <c r="E124" s="63" t="s">
        <v>598</v>
      </c>
      <c r="F124" s="63" t="s">
        <v>598</v>
      </c>
      <c r="G124" s="63" t="s">
        <v>598</v>
      </c>
      <c r="H124" s="68" t="s">
        <v>598</v>
      </c>
      <c r="I124" s="105" t="str">
        <f t="shared" si="34"/>
        <v>NA</v>
      </c>
      <c r="J124" s="64" t="s">
        <v>598</v>
      </c>
      <c r="K124" s="105" t="str">
        <f t="shared" si="35"/>
        <v>NA</v>
      </c>
      <c r="L124" s="105" t="str">
        <f t="shared" si="33"/>
        <v>NA</v>
      </c>
      <c r="M124" s="123"/>
      <c r="N124" s="115"/>
    </row>
    <row r="125" spans="1:14" hidden="1" x14ac:dyDescent="0.3">
      <c r="A125" s="118"/>
      <c r="B125" s="29"/>
      <c r="C125" s="63" t="s">
        <v>598</v>
      </c>
      <c r="D125" s="29"/>
      <c r="E125" s="63" t="s">
        <v>598</v>
      </c>
      <c r="F125" s="63" t="s">
        <v>598</v>
      </c>
      <c r="G125" s="63" t="s">
        <v>598</v>
      </c>
      <c r="H125" s="68" t="s">
        <v>598</v>
      </c>
      <c r="I125" s="105" t="str">
        <f t="shared" si="34"/>
        <v>NA</v>
      </c>
      <c r="J125" s="64" t="s">
        <v>598</v>
      </c>
      <c r="K125" s="105" t="str">
        <f t="shared" si="35"/>
        <v>NA</v>
      </c>
      <c r="L125" s="105" t="str">
        <f t="shared" si="33"/>
        <v>NA</v>
      </c>
      <c r="M125" s="123"/>
      <c r="N125" s="115"/>
    </row>
    <row r="126" spans="1:14" hidden="1" x14ac:dyDescent="0.3">
      <c r="A126" s="118"/>
      <c r="B126" s="29"/>
      <c r="C126" s="63" t="s">
        <v>598</v>
      </c>
      <c r="D126" s="29"/>
      <c r="E126" s="63" t="s">
        <v>598</v>
      </c>
      <c r="F126" s="63" t="s">
        <v>598</v>
      </c>
      <c r="G126" s="63" t="s">
        <v>598</v>
      </c>
      <c r="H126" s="68" t="s">
        <v>598</v>
      </c>
      <c r="I126" s="105" t="str">
        <f t="shared" si="34"/>
        <v>NA</v>
      </c>
      <c r="J126" s="64" t="s">
        <v>598</v>
      </c>
      <c r="K126" s="105" t="str">
        <f t="shared" si="35"/>
        <v>NA</v>
      </c>
      <c r="L126" s="105" t="str">
        <f t="shared" si="33"/>
        <v>NA</v>
      </c>
      <c r="M126" s="123"/>
      <c r="N126" s="115"/>
    </row>
    <row r="127" spans="1:14" ht="19.95" customHeight="1" x14ac:dyDescent="0.3">
      <c r="A127" s="118">
        <f>SUM('Master Data'!S1:W2)</f>
        <v>1</v>
      </c>
      <c r="B127" s="29"/>
      <c r="C127" s="81"/>
      <c r="D127" s="82"/>
      <c r="E127" s="82"/>
      <c r="F127" s="82"/>
      <c r="G127" s="82"/>
      <c r="H127" s="82"/>
      <c r="I127" s="103" t="s">
        <v>496</v>
      </c>
      <c r="J127" s="82"/>
      <c r="K127" s="103"/>
      <c r="L127" s="103"/>
      <c r="M127" s="82"/>
      <c r="N127" s="83"/>
    </row>
    <row r="128" spans="1:14" ht="19.95" customHeight="1" x14ac:dyDescent="0.3">
      <c r="A128" s="118"/>
      <c r="B128" s="59"/>
      <c r="C128" s="60" t="s">
        <v>642</v>
      </c>
      <c r="D128" s="29"/>
      <c r="E128" s="119" t="s">
        <v>639</v>
      </c>
      <c r="F128" s="120"/>
      <c r="G128" s="62" t="s">
        <v>597</v>
      </c>
      <c r="H128" s="62" t="s">
        <v>624</v>
      </c>
      <c r="I128" s="104" t="s">
        <v>628</v>
      </c>
      <c r="J128" s="62" t="s">
        <v>625</v>
      </c>
      <c r="K128" s="104" t="s">
        <v>630</v>
      </c>
      <c r="L128" s="104" t="s">
        <v>626</v>
      </c>
      <c r="M128" s="38" t="s">
        <v>616</v>
      </c>
      <c r="N128" s="62" t="s">
        <v>597</v>
      </c>
    </row>
    <row r="129" spans="1:14" ht="19.95" customHeight="1" x14ac:dyDescent="0.3">
      <c r="A129" s="118"/>
      <c r="B129" s="55" t="e">
        <f>VLOOKUP(C129,'Master Data'!$L$2:$M$7,2,0)</f>
        <v>#N/A</v>
      </c>
      <c r="C129" s="116" t="s">
        <v>598</v>
      </c>
      <c r="D129" s="117"/>
      <c r="E129" s="121" t="s">
        <v>598</v>
      </c>
      <c r="F129" s="122"/>
      <c r="G129" s="63" t="s">
        <v>673</v>
      </c>
      <c r="H129" s="55"/>
      <c r="I129" s="105" t="str">
        <f>IF(OR(H129="NA",H129="" ),"NA",IF(H129&lt;=20,5,IF(H129&lt;=40,4,IF(H129&lt;=60,3,IF(H129&lt;=80,2,1)))))</f>
        <v>NA</v>
      </c>
      <c r="J129" s="52"/>
      <c r="K129" s="105" t="str">
        <f>IF(OR(J129="NA",J129="" ),"NA",IF(J129&lt;=50,5,IF(J129&lt;=60,4,IF(J129&lt;=70,3,IF(J129&lt;=80,2,1)))))</f>
        <v>NA</v>
      </c>
      <c r="L129" s="105" t="str">
        <f t="shared" ref="L129:L138" si="36">IFERROR(IF(AND(H129&lt;&gt;"NA",J129&lt;&gt;"NA"),I129*K129,"NA"),"NA")</f>
        <v>NA</v>
      </c>
      <c r="M129" s="123"/>
      <c r="N129" s="115"/>
    </row>
    <row r="130" spans="1:14" hidden="1" x14ac:dyDescent="0.3">
      <c r="A130" s="118"/>
      <c r="B130" s="29"/>
      <c r="C130" s="63" t="s">
        <v>598</v>
      </c>
      <c r="D130" s="29"/>
      <c r="E130" s="63" t="s">
        <v>598</v>
      </c>
      <c r="F130" s="63" t="s">
        <v>598</v>
      </c>
      <c r="G130" s="63" t="s">
        <v>598</v>
      </c>
      <c r="H130" s="68" t="s">
        <v>598</v>
      </c>
      <c r="I130" s="65" t="str">
        <f t="shared" ref="I130:I138" si="37">IF(OR(H130="NA",H130="" ),"NA",IF(H130&lt;=20,5,IF(H130&lt;=40,4,IF(H130&lt;=60,3,IF(H130&lt;=80,2,1)))))</f>
        <v>NA</v>
      </c>
      <c r="J130" s="64" t="s">
        <v>598</v>
      </c>
      <c r="K130" s="105" t="str">
        <f t="shared" ref="K130:K138" si="38">IF(OR(J130="NA",J130="" ),"NA",IF(J130&lt;=50,5,IF(J130&lt;=60,4,IF(J130&lt;=70,3,IF(J130&lt;=80,2,1)))))</f>
        <v>NA</v>
      </c>
      <c r="L130" s="105" t="str">
        <f t="shared" si="36"/>
        <v>NA</v>
      </c>
      <c r="M130" s="123"/>
      <c r="N130" s="115"/>
    </row>
    <row r="131" spans="1:14" hidden="1" x14ac:dyDescent="0.3">
      <c r="A131" s="118"/>
      <c r="B131" s="29"/>
      <c r="C131" s="63" t="s">
        <v>598</v>
      </c>
      <c r="D131" s="29"/>
      <c r="E131" s="63" t="s">
        <v>598</v>
      </c>
      <c r="F131" s="63" t="s">
        <v>598</v>
      </c>
      <c r="G131" s="63" t="s">
        <v>598</v>
      </c>
      <c r="H131" s="68" t="s">
        <v>598</v>
      </c>
      <c r="I131" s="65" t="str">
        <f t="shared" si="37"/>
        <v>NA</v>
      </c>
      <c r="J131" s="64" t="s">
        <v>598</v>
      </c>
      <c r="K131" s="105" t="str">
        <f t="shared" si="38"/>
        <v>NA</v>
      </c>
      <c r="L131" s="105" t="str">
        <f t="shared" si="36"/>
        <v>NA</v>
      </c>
      <c r="M131" s="123"/>
      <c r="N131" s="115"/>
    </row>
    <row r="132" spans="1:14" hidden="1" x14ac:dyDescent="0.3">
      <c r="A132" s="118"/>
      <c r="B132" s="29"/>
      <c r="C132" s="63" t="s">
        <v>598</v>
      </c>
      <c r="D132" s="29"/>
      <c r="E132" s="63" t="s">
        <v>598</v>
      </c>
      <c r="F132" s="63" t="s">
        <v>598</v>
      </c>
      <c r="G132" s="63" t="s">
        <v>598</v>
      </c>
      <c r="H132" s="68" t="s">
        <v>598</v>
      </c>
      <c r="I132" s="65" t="str">
        <f t="shared" si="37"/>
        <v>NA</v>
      </c>
      <c r="J132" s="64" t="s">
        <v>598</v>
      </c>
      <c r="K132" s="105" t="str">
        <f t="shared" si="38"/>
        <v>NA</v>
      </c>
      <c r="L132" s="105" t="str">
        <f t="shared" si="36"/>
        <v>NA</v>
      </c>
      <c r="M132" s="123"/>
      <c r="N132" s="115"/>
    </row>
    <row r="133" spans="1:14" hidden="1" x14ac:dyDescent="0.3">
      <c r="A133" s="118"/>
      <c r="B133" s="29"/>
      <c r="C133" s="63" t="s">
        <v>598</v>
      </c>
      <c r="D133" s="29"/>
      <c r="E133" s="63" t="s">
        <v>598</v>
      </c>
      <c r="F133" s="63" t="s">
        <v>598</v>
      </c>
      <c r="G133" s="63" t="s">
        <v>598</v>
      </c>
      <c r="H133" s="68" t="s">
        <v>598</v>
      </c>
      <c r="I133" s="65" t="str">
        <f t="shared" si="37"/>
        <v>NA</v>
      </c>
      <c r="J133" s="64" t="s">
        <v>598</v>
      </c>
      <c r="K133" s="105" t="str">
        <f t="shared" si="38"/>
        <v>NA</v>
      </c>
      <c r="L133" s="105" t="str">
        <f t="shared" si="36"/>
        <v>NA</v>
      </c>
      <c r="M133" s="123"/>
      <c r="N133" s="115"/>
    </row>
    <row r="134" spans="1:14" hidden="1" x14ac:dyDescent="0.3">
      <c r="A134" s="118"/>
      <c r="B134" s="29"/>
      <c r="C134" s="63" t="s">
        <v>598</v>
      </c>
      <c r="D134" s="29"/>
      <c r="E134" s="63" t="s">
        <v>598</v>
      </c>
      <c r="F134" s="63" t="s">
        <v>598</v>
      </c>
      <c r="G134" s="63" t="s">
        <v>598</v>
      </c>
      <c r="H134" s="68" t="s">
        <v>598</v>
      </c>
      <c r="I134" s="65" t="str">
        <f t="shared" si="37"/>
        <v>NA</v>
      </c>
      <c r="J134" s="64" t="s">
        <v>598</v>
      </c>
      <c r="K134" s="105" t="str">
        <f t="shared" si="38"/>
        <v>NA</v>
      </c>
      <c r="L134" s="105" t="str">
        <f t="shared" si="36"/>
        <v>NA</v>
      </c>
      <c r="M134" s="123"/>
      <c r="N134" s="115"/>
    </row>
    <row r="135" spans="1:14" hidden="1" x14ac:dyDescent="0.3">
      <c r="A135" s="118"/>
      <c r="B135" s="29"/>
      <c r="C135" s="63" t="s">
        <v>598</v>
      </c>
      <c r="D135" s="29"/>
      <c r="E135" s="63" t="s">
        <v>598</v>
      </c>
      <c r="F135" s="63" t="s">
        <v>598</v>
      </c>
      <c r="G135" s="63" t="s">
        <v>598</v>
      </c>
      <c r="H135" s="68" t="s">
        <v>598</v>
      </c>
      <c r="I135" s="65" t="str">
        <f t="shared" si="37"/>
        <v>NA</v>
      </c>
      <c r="J135" s="64" t="s">
        <v>598</v>
      </c>
      <c r="K135" s="105" t="str">
        <f t="shared" si="38"/>
        <v>NA</v>
      </c>
      <c r="L135" s="105" t="str">
        <f t="shared" si="36"/>
        <v>NA</v>
      </c>
      <c r="M135" s="123"/>
      <c r="N135" s="115"/>
    </row>
    <row r="136" spans="1:14" hidden="1" x14ac:dyDescent="0.3">
      <c r="A136" s="118"/>
      <c r="B136" s="29"/>
      <c r="C136" s="63" t="s">
        <v>598</v>
      </c>
      <c r="D136" s="29"/>
      <c r="E136" s="63" t="s">
        <v>598</v>
      </c>
      <c r="F136" s="63" t="s">
        <v>598</v>
      </c>
      <c r="G136" s="63" t="s">
        <v>598</v>
      </c>
      <c r="H136" s="68" t="s">
        <v>598</v>
      </c>
      <c r="I136" s="65" t="str">
        <f t="shared" si="37"/>
        <v>NA</v>
      </c>
      <c r="J136" s="64" t="s">
        <v>598</v>
      </c>
      <c r="K136" s="105" t="str">
        <f t="shared" si="38"/>
        <v>NA</v>
      </c>
      <c r="L136" s="105" t="str">
        <f t="shared" si="36"/>
        <v>NA</v>
      </c>
      <c r="M136" s="123"/>
      <c r="N136" s="115"/>
    </row>
    <row r="137" spans="1:14" hidden="1" x14ac:dyDescent="0.3">
      <c r="A137" s="118"/>
      <c r="B137" s="29"/>
      <c r="C137" s="63" t="s">
        <v>598</v>
      </c>
      <c r="D137" s="29"/>
      <c r="E137" s="63" t="s">
        <v>598</v>
      </c>
      <c r="F137" s="63" t="s">
        <v>598</v>
      </c>
      <c r="G137" s="63" t="s">
        <v>598</v>
      </c>
      <c r="H137" s="68" t="s">
        <v>598</v>
      </c>
      <c r="I137" s="65" t="str">
        <f t="shared" si="37"/>
        <v>NA</v>
      </c>
      <c r="J137" s="64" t="s">
        <v>598</v>
      </c>
      <c r="K137" s="105" t="str">
        <f t="shared" si="38"/>
        <v>NA</v>
      </c>
      <c r="L137" s="105" t="str">
        <f t="shared" si="36"/>
        <v>NA</v>
      </c>
      <c r="M137" s="123"/>
      <c r="N137" s="115"/>
    </row>
    <row r="138" spans="1:14" hidden="1" x14ac:dyDescent="0.3">
      <c r="A138" s="118"/>
      <c r="B138" s="29"/>
      <c r="C138" s="63" t="s">
        <v>598</v>
      </c>
      <c r="D138" s="29"/>
      <c r="E138" s="63" t="s">
        <v>598</v>
      </c>
      <c r="F138" s="63" t="s">
        <v>598</v>
      </c>
      <c r="G138" s="63" t="s">
        <v>598</v>
      </c>
      <c r="H138" s="68" t="s">
        <v>598</v>
      </c>
      <c r="I138" s="65" t="str">
        <f t="shared" si="37"/>
        <v>NA</v>
      </c>
      <c r="J138" s="64" t="s">
        <v>598</v>
      </c>
      <c r="K138" s="105" t="str">
        <f t="shared" si="38"/>
        <v>NA</v>
      </c>
      <c r="L138" s="105" t="str">
        <f t="shared" si="36"/>
        <v>NA</v>
      </c>
      <c r="M138" s="123"/>
      <c r="N138" s="115"/>
    </row>
    <row r="139" spans="1:14" s="84" customFormat="1" x14ac:dyDescent="0.3">
      <c r="A139" s="107"/>
      <c r="B139" s="107"/>
      <c r="C139" s="107"/>
      <c r="D139" s="107"/>
      <c r="E139" s="107"/>
      <c r="F139" s="107"/>
      <c r="G139" s="107"/>
      <c r="H139" s="106"/>
      <c r="I139" s="106"/>
      <c r="J139" s="106"/>
      <c r="K139" s="106"/>
      <c r="L139" s="106"/>
      <c r="M139" s="107"/>
      <c r="N139" s="107"/>
    </row>
    <row r="140" spans="1:14" s="84" customFormat="1" hidden="1" x14ac:dyDescent="0.3">
      <c r="H140" s="102"/>
      <c r="I140" s="102"/>
      <c r="J140" s="102"/>
      <c r="K140" s="102"/>
      <c r="L140" s="102"/>
    </row>
    <row r="141" spans="1:14" s="84" customFormat="1" hidden="1" x14ac:dyDescent="0.3">
      <c r="H141" s="102"/>
      <c r="I141" s="102"/>
      <c r="J141" s="102"/>
      <c r="K141" s="102"/>
      <c r="L141" s="102"/>
    </row>
    <row r="142" spans="1:14" s="84" customFormat="1" hidden="1" x14ac:dyDescent="0.3">
      <c r="H142" s="102"/>
      <c r="I142" s="102"/>
      <c r="J142" s="102"/>
      <c r="K142" s="102"/>
      <c r="L142" s="102"/>
    </row>
    <row r="143" spans="1:14" s="84" customFormat="1" hidden="1" x14ac:dyDescent="0.3">
      <c r="H143" s="102"/>
      <c r="I143" s="102"/>
      <c r="J143" s="102"/>
      <c r="K143" s="102"/>
      <c r="L143" s="102"/>
    </row>
    <row r="144" spans="1:14" s="84" customFormat="1" hidden="1" x14ac:dyDescent="0.3">
      <c r="H144" s="102"/>
      <c r="I144" s="102"/>
      <c r="J144" s="102"/>
      <c r="K144" s="102"/>
      <c r="L144" s="102"/>
    </row>
    <row r="145" spans="1:14" s="84" customFormat="1" hidden="1" x14ac:dyDescent="0.3">
      <c r="H145" s="102"/>
      <c r="I145" s="102"/>
      <c r="J145" s="102"/>
      <c r="K145" s="102"/>
      <c r="L145" s="102"/>
    </row>
    <row r="146" spans="1:14" s="84" customFormat="1" hidden="1" x14ac:dyDescent="0.3">
      <c r="H146" s="102"/>
      <c r="I146" s="102"/>
      <c r="J146" s="102"/>
      <c r="K146" s="102"/>
      <c r="L146" s="102"/>
    </row>
    <row r="147" spans="1:14" s="84" customFormat="1" hidden="1" x14ac:dyDescent="0.3">
      <c r="H147" s="102"/>
      <c r="I147" s="102"/>
      <c r="J147" s="102"/>
      <c r="K147" s="102"/>
      <c r="L147" s="102"/>
    </row>
    <row r="148" spans="1:14" s="84" customFormat="1" hidden="1" x14ac:dyDescent="0.3">
      <c r="H148" s="102"/>
      <c r="I148" s="102"/>
      <c r="J148" s="102"/>
      <c r="K148" s="102"/>
      <c r="L148" s="102"/>
    </row>
    <row r="149" spans="1:14" s="84" customFormat="1" x14ac:dyDescent="0.3">
      <c r="H149" s="102"/>
      <c r="I149" s="102"/>
      <c r="J149" s="102"/>
      <c r="K149" s="102"/>
      <c r="L149" s="102"/>
    </row>
    <row r="150" spans="1:14" x14ac:dyDescent="0.3">
      <c r="A150" s="84"/>
      <c r="B150" s="84"/>
      <c r="C150" s="108" t="s">
        <v>612</v>
      </c>
      <c r="D150" s="43">
        <v>46034</v>
      </c>
      <c r="E150" s="43">
        <v>46038</v>
      </c>
      <c r="F150" s="84"/>
      <c r="G150" s="108" t="s">
        <v>612</v>
      </c>
      <c r="H150" s="43">
        <v>46038</v>
      </c>
      <c r="I150" s="102"/>
      <c r="J150" s="108"/>
      <c r="K150" s="112"/>
      <c r="L150" s="108" t="s">
        <v>612</v>
      </c>
      <c r="M150" s="108"/>
      <c r="N150" s="84"/>
    </row>
    <row r="151" spans="1:14" s="84" customFormat="1" x14ac:dyDescent="0.3">
      <c r="C151" s="108" t="s">
        <v>640</v>
      </c>
      <c r="D151" s="109"/>
      <c r="G151" s="108" t="s">
        <v>641</v>
      </c>
      <c r="H151" s="102"/>
      <c r="I151" s="102"/>
      <c r="J151" s="108"/>
      <c r="K151" s="102"/>
      <c r="L151" s="108" t="s">
        <v>674</v>
      </c>
      <c r="M151" s="108"/>
    </row>
    <row r="152" spans="1:14" s="84" customFormat="1" x14ac:dyDescent="0.3">
      <c r="D152" s="109"/>
      <c r="G152" s="102"/>
      <c r="H152" s="102"/>
      <c r="I152" s="102"/>
      <c r="J152" s="102"/>
      <c r="K152" s="102"/>
    </row>
    <row r="153" spans="1:14" s="84" customFormat="1" x14ac:dyDescent="0.3">
      <c r="D153" s="109"/>
      <c r="G153" s="102"/>
      <c r="H153" s="102"/>
      <c r="I153" s="102"/>
      <c r="J153" s="102"/>
      <c r="K153" s="102"/>
    </row>
    <row r="154" spans="1:14" s="84" customFormat="1" x14ac:dyDescent="0.3">
      <c r="D154" s="109"/>
      <c r="G154" s="102"/>
      <c r="H154" s="102"/>
      <c r="I154" s="102"/>
      <c r="J154" s="102"/>
      <c r="K154" s="102"/>
    </row>
    <row r="155" spans="1:14" s="84" customFormat="1" x14ac:dyDescent="0.3">
      <c r="D155" s="110"/>
      <c r="E155" s="110"/>
      <c r="G155" s="102"/>
      <c r="H155" s="110"/>
      <c r="I155" s="102"/>
      <c r="J155" s="102"/>
      <c r="K155" s="111"/>
    </row>
    <row r="156" spans="1:14" s="84" customFormat="1" x14ac:dyDescent="0.3">
      <c r="H156" s="102"/>
      <c r="I156" s="102"/>
      <c r="J156" s="102"/>
      <c r="K156" s="102"/>
      <c r="L156" s="102"/>
    </row>
    <row r="157" spans="1:14" s="84" customFormat="1" x14ac:dyDescent="0.3">
      <c r="H157" s="102"/>
      <c r="I157" s="102"/>
      <c r="J157" s="102"/>
      <c r="K157" s="102"/>
      <c r="L157" s="102"/>
    </row>
    <row r="158" spans="1:14" s="84" customFormat="1" x14ac:dyDescent="0.3">
      <c r="H158" s="102"/>
      <c r="I158" s="102"/>
      <c r="J158" s="102"/>
      <c r="K158" s="102"/>
      <c r="L158" s="102"/>
    </row>
    <row r="159" spans="1:14" s="84" customFormat="1" x14ac:dyDescent="0.3">
      <c r="H159" s="102"/>
      <c r="I159" s="102"/>
      <c r="J159" s="102"/>
      <c r="K159" s="102"/>
      <c r="L159" s="102"/>
    </row>
    <row r="160" spans="1:14" s="84" customFormat="1" x14ac:dyDescent="0.3">
      <c r="H160" s="102"/>
      <c r="I160" s="102"/>
      <c r="J160" s="102"/>
      <c r="K160" s="102"/>
      <c r="L160" s="102"/>
    </row>
    <row r="161" spans="8:12" s="84" customFormat="1" x14ac:dyDescent="0.3">
      <c r="H161" s="102"/>
      <c r="I161" s="102"/>
      <c r="J161" s="102"/>
      <c r="K161" s="102"/>
      <c r="L161" s="102"/>
    </row>
    <row r="162" spans="8:12" s="84" customFormat="1" x14ac:dyDescent="0.3">
      <c r="H162" s="102"/>
      <c r="I162" s="102"/>
      <c r="J162" s="102"/>
      <c r="K162" s="102"/>
      <c r="L162" s="102"/>
    </row>
  </sheetData>
  <sheetProtection algorithmName="SHA-512" hashValue="wqGzCy3+kZCFCSx8dvezEpw4PxJAowwFbB9TUtSbWgvsttwUbqd/2A+1gZ67LYy+t24Hv1c1H8CCn1MogfatfA==" saltValue="49hzNWF53W9vsdjz32whGw==" spinCount="100000" sheet="1" objects="1" scenarios="1" formatCells="0" formatRows="0"/>
  <mergeCells count="60">
    <mergeCell ref="E105:F105"/>
    <mergeCell ref="N69:N78"/>
    <mergeCell ref="N81:N90"/>
    <mergeCell ref="N93:N102"/>
    <mergeCell ref="N105:N114"/>
    <mergeCell ref="C94:F94"/>
    <mergeCell ref="C95:F95"/>
    <mergeCell ref="M81:M90"/>
    <mergeCell ref="M105:M114"/>
    <mergeCell ref="M69:M78"/>
    <mergeCell ref="M93:M102"/>
    <mergeCell ref="E69:F69"/>
    <mergeCell ref="C86:F86"/>
    <mergeCell ref="C87:F87"/>
    <mergeCell ref="C70:F70"/>
    <mergeCell ref="C71:F71"/>
    <mergeCell ref="N12:N30"/>
    <mergeCell ref="N33:N42"/>
    <mergeCell ref="H9:I9"/>
    <mergeCell ref="J9:K9"/>
    <mergeCell ref="M12:M30"/>
    <mergeCell ref="M1:N1"/>
    <mergeCell ref="N57:N66"/>
    <mergeCell ref="E58:F58"/>
    <mergeCell ref="E59:F59"/>
    <mergeCell ref="M57:M66"/>
    <mergeCell ref="A2:N2"/>
    <mergeCell ref="C15:F15"/>
    <mergeCell ref="C16:F16"/>
    <mergeCell ref="M33:M42"/>
    <mergeCell ref="B9:F9"/>
    <mergeCell ref="E34:F34"/>
    <mergeCell ref="E35:F35"/>
    <mergeCell ref="A10:A30"/>
    <mergeCell ref="A31:A54"/>
    <mergeCell ref="J5:K5"/>
    <mergeCell ref="G3:K3"/>
    <mergeCell ref="I4:K4"/>
    <mergeCell ref="A127:A138"/>
    <mergeCell ref="E128:F128"/>
    <mergeCell ref="E129:F129"/>
    <mergeCell ref="M129:M138"/>
    <mergeCell ref="A67:A78"/>
    <mergeCell ref="A91:A95"/>
    <mergeCell ref="E68:F68"/>
    <mergeCell ref="A55:A66"/>
    <mergeCell ref="A103:A114"/>
    <mergeCell ref="C107:F107"/>
    <mergeCell ref="A79:A90"/>
    <mergeCell ref="C106:F106"/>
    <mergeCell ref="E92:F92"/>
    <mergeCell ref="E93:F93"/>
    <mergeCell ref="E104:F104"/>
    <mergeCell ref="N129:N138"/>
    <mergeCell ref="C129:D129"/>
    <mergeCell ref="A115:A126"/>
    <mergeCell ref="E116:F116"/>
    <mergeCell ref="E117:F117"/>
    <mergeCell ref="M117:M126"/>
    <mergeCell ref="N117:N126"/>
  </mergeCells>
  <dataValidations count="13">
    <dataValidation type="decimal" allowBlank="1" showInputMessage="1" showErrorMessage="1" sqref="F12 C83">
      <formula1>0</formula1>
      <formula2>1000</formula2>
    </dataValidation>
    <dataValidation type="list" showInputMessage="1" showErrorMessage="1" sqref="C12">
      <formula1>PP_PC</formula1>
    </dataValidation>
    <dataValidation type="list" allowBlank="1" showInputMessage="1" showErrorMessage="1" sqref="E12 E33 E57 E81 C93 C69 C105">
      <formula1>condition</formula1>
    </dataValidation>
    <dataValidation type="list" allowBlank="1" showInputMessage="1" showErrorMessage="1" sqref="C33">
      <formula1>hinhThucVien</formula1>
    </dataValidation>
    <dataValidation type="whole" allowBlank="1" showInputMessage="1" showErrorMessage="1" sqref="C35 F57 F81 E93 E105">
      <formula1>0</formula1>
      <formula2>1000000000</formula2>
    </dataValidation>
    <dataValidation type="list" allowBlank="1" showInputMessage="1" showErrorMessage="1" sqref="F33">
      <formula1>loaiChayCoi</formula1>
    </dataValidation>
    <dataValidation type="list" allowBlank="1" showInputMessage="1" showErrorMessage="1" sqref="C59">
      <formula1>cupsuleSize</formula1>
    </dataValidation>
    <dataValidation type="list" allowBlank="1" showInputMessage="1" showErrorMessage="1" sqref="C57">
      <formula1>loaiBTP</formula1>
    </dataValidation>
    <dataValidation type="decimal" allowBlank="1" showInputMessage="1" showErrorMessage="1" sqref="C85 E83">
      <formula1>0</formula1>
      <formula2>5000</formula2>
    </dataValidation>
    <dataValidation type="decimal" allowBlank="1" showInputMessage="1" showErrorMessage="1" sqref="J12:J23 H12:H23">
      <formula1>0</formula1>
      <formula2>100</formula2>
    </dataValidation>
    <dataValidation type="list" allowBlank="1" showInputMessage="1" showErrorMessage="1" sqref="G5">
      <formula1>EU</formula1>
    </dataValidation>
    <dataValidation type="decimal" allowBlank="1" showInputMessage="1" showErrorMessage="1" sqref="E14">
      <formula1>0</formula1>
      <formula2>1</formula2>
    </dataValidation>
    <dataValidation type="list" allowBlank="1" showInputMessage="1" showErrorMessage="1" sqref="J5">
      <formula1>PX</formula1>
    </dataValidation>
  </dataValidations>
  <pageMargins left="0.39370078740157483" right="7.874015748031496E-2" top="0.74803149606299213" bottom="0.74803149606299213" header="0.31496062992125984" footer="0.31496062992125984"/>
  <pageSetup paperSize="9" scale="59" fitToHeight="0" orientation="landscape" r:id="rId1"/>
  <headerFooter>
    <oddFooter>&amp;L&amp;Z&amp;F&amp;C&amp;P of &amp;N&amp;RPrinted Date: 12/01/2026
Printed by: Nguyễn Hữu Phong</oddFooter>
  </headerFooter>
  <drawing r:id="rId2"/>
  <legacyDrawing r:id="rId3"/>
  <controls>
    <mc:AlternateContent xmlns:mc="http://schemas.openxmlformats.org/markup-compatibility/2006">
      <mc:Choice Requires="x14">
        <control shapeId="5167" r:id="rId4" name="CheckDinhVi">
          <controlPr autoLine="0" autoPict="0" r:id="rId5">
            <anchor moveWithCells="1" sizeWithCells="1">
              <from>
                <xdr:col>4</xdr:col>
                <xdr:colOff>579120</xdr:colOff>
                <xdr:row>9</xdr:row>
                <xdr:rowOff>0</xdr:rowOff>
              </from>
              <to>
                <xdr:col>4</xdr:col>
                <xdr:colOff>731520</xdr:colOff>
                <xdr:row>9</xdr:row>
                <xdr:rowOff>0</xdr:rowOff>
              </to>
            </anchor>
          </controlPr>
        </control>
      </mc:Choice>
      <mc:Fallback>
        <control shapeId="5167" r:id="rId4" name="CheckDinhVi"/>
      </mc:Fallback>
    </mc:AlternateContent>
    <mc:AlternateContent xmlns:mc="http://schemas.openxmlformats.org/markup-compatibility/2006">
      <mc:Choice Requires="x14">
        <control shapeId="5165" r:id="rId6" name="CheckNauHo">
          <controlPr autoLine="0" autoPict="0" r:id="rId7">
            <anchor moveWithCells="1" sizeWithCells="1">
              <from>
                <xdr:col>2</xdr:col>
                <xdr:colOff>693420</xdr:colOff>
                <xdr:row>9</xdr:row>
                <xdr:rowOff>0</xdr:rowOff>
              </from>
              <to>
                <xdr:col>2</xdr:col>
                <xdr:colOff>845820</xdr:colOff>
                <xdr:row>9</xdr:row>
                <xdr:rowOff>0</xdr:rowOff>
              </to>
            </anchor>
          </controlPr>
        </control>
      </mc:Choice>
      <mc:Fallback>
        <control shapeId="5165" r:id="rId6" name="CheckNauHo"/>
      </mc:Fallback>
    </mc:AlternateContent>
    <mc:AlternateContent xmlns:mc="http://schemas.openxmlformats.org/markup-compatibility/2006">
      <mc:Choice Requires="x14">
        <control shapeId="5163" r:id="rId8" name="CheckSui">
          <controlPr autoLine="0" autoPict="0" r:id="rId7">
            <anchor moveWithCells="1" sizeWithCells="1">
              <from>
                <xdr:col>2</xdr:col>
                <xdr:colOff>693420</xdr:colOff>
                <xdr:row>9</xdr:row>
                <xdr:rowOff>0</xdr:rowOff>
              </from>
              <to>
                <xdr:col>2</xdr:col>
                <xdr:colOff>845820</xdr:colOff>
                <xdr:row>9</xdr:row>
                <xdr:rowOff>0</xdr:rowOff>
              </to>
            </anchor>
          </controlPr>
        </control>
      </mc:Choice>
      <mc:Fallback>
        <control shapeId="5163" r:id="rId8" name="CheckSui"/>
      </mc:Fallback>
    </mc:AlternateContent>
    <mc:AlternateContent xmlns:mc="http://schemas.openxmlformats.org/markup-compatibility/2006">
      <mc:Choice Requires="x14">
        <control shapeId="5123" r:id="rId9" name="Check Box 3">
          <controlPr locked="0" defaultSize="0" autoFill="0" autoLine="0" autoPict="0" macro="[0]!GranuleIsShow">
            <anchor moveWithCells="1">
              <from>
                <xdr:col>6</xdr:col>
                <xdr:colOff>274320</xdr:colOff>
                <xdr:row>5</xdr:row>
                <xdr:rowOff>7620</xdr:rowOff>
              </from>
              <to>
                <xdr:col>7</xdr:col>
                <xdr:colOff>53340</xdr:colOff>
                <xdr:row>5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0" name="Check Box 6">
          <controlPr defaultSize="0" autoFill="0" autoLine="0" autoPict="0" macro="[0]!BlisterIsShow">
            <anchor moveWithCells="1">
              <from>
                <xdr:col>6</xdr:col>
                <xdr:colOff>274320</xdr:colOff>
                <xdr:row>5</xdr:row>
                <xdr:rowOff>182880</xdr:rowOff>
              </from>
              <to>
                <xdr:col>7</xdr:col>
                <xdr:colOff>53340</xdr:colOff>
                <xdr:row>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1" name="Check Box 8">
          <controlPr defaultSize="0" autoFill="0" autoLine="0" autoPict="0" macro="[0]!CompresIsShow">
            <anchor moveWithCells="1">
              <from>
                <xdr:col>7</xdr:col>
                <xdr:colOff>144780</xdr:colOff>
                <xdr:row>5</xdr:row>
                <xdr:rowOff>7620</xdr:rowOff>
              </from>
              <to>
                <xdr:col>8</xdr:col>
                <xdr:colOff>0</xdr:colOff>
                <xdr:row>5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2" name="Check Box 9">
          <controlPr defaultSize="0" autoFill="0" autoLine="0" autoPict="0" macro="[0]!StripIsShow">
            <anchor moveWithCells="1">
              <from>
                <xdr:col>7</xdr:col>
                <xdr:colOff>144780</xdr:colOff>
                <xdr:row>6</xdr:row>
                <xdr:rowOff>7620</xdr:rowOff>
              </from>
              <to>
                <xdr:col>7</xdr:col>
                <xdr:colOff>982980</xdr:colOff>
                <xdr:row>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3" name="Check Box 10">
          <controlPr defaultSize="0" autoFill="0" autoLine="0" autoPict="0" macro="[0]!CapsuleIsShow">
            <anchor moveWithCells="1">
              <from>
                <xdr:col>8</xdr:col>
                <xdr:colOff>121920</xdr:colOff>
                <xdr:row>5</xdr:row>
                <xdr:rowOff>22860</xdr:rowOff>
              </from>
              <to>
                <xdr:col>9</xdr:col>
                <xdr:colOff>0</xdr:colOff>
                <xdr:row>5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4" name="Check Box 12">
          <controlPr defaultSize="0" autoFill="0" autoLine="0" autoPict="0" macro="[0]!CoatingIsShow">
            <anchor moveWithCells="1">
              <from>
                <xdr:col>9</xdr:col>
                <xdr:colOff>38100</xdr:colOff>
                <xdr:row>5</xdr:row>
                <xdr:rowOff>0</xdr:rowOff>
              </from>
              <to>
                <xdr:col>10</xdr:col>
                <xdr:colOff>45720</xdr:colOff>
                <xdr:row>5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15" name="Check Box 15">
          <controlPr defaultSize="0" autoFill="0" autoLine="0" autoPict="0">
            <anchor moveWithCells="1">
              <from>
                <xdr:col>9</xdr:col>
                <xdr:colOff>99060</xdr:colOff>
                <xdr:row>3</xdr:row>
                <xdr:rowOff>0</xdr:rowOff>
              </from>
              <to>
                <xdr:col>9</xdr:col>
                <xdr:colOff>922020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8" r:id="rId16" name="Check Box 18">
          <controlPr defaultSize="0" autoFill="0" autoLine="0" autoPict="0" macro="[0]!SachetIsShow">
            <anchor moveWithCells="1">
              <from>
                <xdr:col>8</xdr:col>
                <xdr:colOff>121920</xdr:colOff>
                <xdr:row>6</xdr:row>
                <xdr:rowOff>22860</xdr:rowOff>
              </from>
              <to>
                <xdr:col>9</xdr:col>
                <xdr:colOff>0</xdr:colOff>
                <xdr:row>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4" r:id="rId17" name="Check Box 54">
          <controlPr defaultSize="0" autoFill="0" autoLine="0" autoPict="0">
            <anchor moveWithCells="1">
              <from>
                <xdr:col>6</xdr:col>
                <xdr:colOff>304800</xdr:colOff>
                <xdr:row>3</xdr:row>
                <xdr:rowOff>7620</xdr:rowOff>
              </from>
              <to>
                <xdr:col>6</xdr:col>
                <xdr:colOff>1143000</xdr:colOff>
                <xdr:row>3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6" r:id="rId18" name="Check Box 56">
          <controlPr defaultSize="0" autoFill="0" autoLine="0" autoPict="0" macro="[0]!CountingIsShow">
            <anchor moveWithCells="1">
              <from>
                <xdr:col>9</xdr:col>
                <xdr:colOff>38100</xdr:colOff>
                <xdr:row>6</xdr:row>
                <xdr:rowOff>7620</xdr:rowOff>
              </from>
              <to>
                <xdr:col>10</xdr:col>
                <xdr:colOff>68580</xdr:colOff>
                <xdr:row>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9" r:id="rId19" name="Check Box 59">
          <controlPr defaultSize="0" autoFill="0" autoLine="0" autoPict="0" macro="[0]!TubeIsShow">
            <anchor moveWithCells="1">
              <from>
                <xdr:col>10</xdr:col>
                <xdr:colOff>106680</xdr:colOff>
                <xdr:row>6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'Master Data'!$H$32:$H$33</xm:f>
          </x14:formula1>
          <xm:sqref>C81</xm:sqref>
        </x14:dataValidation>
        <x14:dataValidation type="list" allowBlank="1" showInputMessage="1" showErrorMessage="1">
          <x14:formula1>
            <xm:f>'Master Data'!$J$32:$J$33</xm:f>
          </x14:formula1>
          <xm:sqref>M11 M32 M56 M80 M92 M104 M68 M116 M128</xm:sqref>
        </x14:dataValidation>
        <x14:dataValidation type="list" allowBlank="1" showInputMessage="1" showErrorMessage="1">
          <x14:formula1>
            <xm:f>'Master Data'!$O$19:$O$24</xm:f>
          </x14:formula1>
          <xm:sqref>N11</xm:sqref>
        </x14:dataValidation>
        <x14:dataValidation type="list" allowBlank="1" showInputMessage="1" showErrorMessage="1">
          <x14:formula1>
            <xm:f>'Master Data'!$Q$12:$Q$14</xm:f>
          </x14:formula1>
          <xm:sqref>E69:F69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000"/>
  <sheetViews>
    <sheetView zoomScaleNormal="100" workbookViewId="0">
      <selection activeCell="O5" sqref="O5"/>
    </sheetView>
  </sheetViews>
  <sheetFormatPr defaultColWidth="9.109375" defaultRowHeight="15" x14ac:dyDescent="0.25"/>
  <cols>
    <col min="1" max="1" width="7" style="26" customWidth="1"/>
    <col min="2" max="2" width="39.109375" style="26" customWidth="1"/>
    <col min="3" max="3" width="20.6640625" style="22" customWidth="1"/>
    <col min="4" max="4" width="17.6640625" style="22" customWidth="1"/>
    <col min="5" max="5" width="21.33203125" style="18" customWidth="1"/>
    <col min="6" max="6" width="15" style="26" customWidth="1"/>
    <col min="7" max="8" width="10.109375" style="26" customWidth="1"/>
    <col min="9" max="9" width="10.88671875" style="26" customWidth="1"/>
    <col min="10" max="10" width="11.109375" style="26" customWidth="1"/>
    <col min="11" max="11" width="10.5546875" style="26" customWidth="1"/>
    <col min="12" max="12" width="11.109375" style="26" customWidth="1"/>
    <col min="13" max="13" width="9.6640625" style="26" customWidth="1"/>
    <col min="14" max="14" width="12" style="26" customWidth="1"/>
    <col min="15" max="15" width="14.33203125" style="18" customWidth="1"/>
    <col min="16" max="16" width="29.6640625" style="26" customWidth="1"/>
    <col min="17" max="17" width="16.44140625" style="26" customWidth="1"/>
    <col min="18" max="16384" width="9.109375" style="26"/>
  </cols>
  <sheetData>
    <row r="1" spans="1:16" s="27" customFormat="1" ht="65.25" customHeight="1" x14ac:dyDescent="0.3">
      <c r="A1" s="32" t="s">
        <v>1</v>
      </c>
      <c r="B1" s="32" t="s">
        <v>526</v>
      </c>
      <c r="C1" s="32" t="s">
        <v>579</v>
      </c>
      <c r="D1" s="32" t="s">
        <v>580</v>
      </c>
      <c r="E1" s="32" t="s">
        <v>8</v>
      </c>
      <c r="F1" s="32" t="s">
        <v>521</v>
      </c>
      <c r="G1" s="32" t="s">
        <v>578</v>
      </c>
      <c r="H1" s="32" t="s">
        <v>529</v>
      </c>
      <c r="I1" s="32" t="s">
        <v>528</v>
      </c>
      <c r="J1" s="32" t="s">
        <v>531</v>
      </c>
      <c r="K1" s="32" t="s">
        <v>530</v>
      </c>
      <c r="L1" s="32" t="s">
        <v>532</v>
      </c>
      <c r="M1" s="32" t="s">
        <v>567</v>
      </c>
      <c r="N1" s="32" t="s">
        <v>568</v>
      </c>
      <c r="O1" s="32" t="s">
        <v>516</v>
      </c>
      <c r="P1" s="32" t="s">
        <v>563</v>
      </c>
    </row>
    <row r="2" spans="1:16" x14ac:dyDescent="0.25">
      <c r="A2" s="26">
        <v>1</v>
      </c>
      <c r="B2" s="26" t="s">
        <v>703</v>
      </c>
      <c r="C2" s="22">
        <v>500000</v>
      </c>
      <c r="D2" s="22">
        <v>3000000</v>
      </c>
      <c r="E2" s="18" t="s">
        <v>575</v>
      </c>
      <c r="F2" s="26" t="s">
        <v>522</v>
      </c>
      <c r="G2" s="26">
        <v>6</v>
      </c>
      <c r="H2" s="26">
        <v>50</v>
      </c>
      <c r="I2" s="26">
        <v>67</v>
      </c>
      <c r="J2" s="26">
        <v>95</v>
      </c>
      <c r="K2" s="26">
        <v>110</v>
      </c>
      <c r="L2" s="18" t="b">
        <v>0</v>
      </c>
      <c r="M2" s="26">
        <v>134</v>
      </c>
      <c r="N2" s="26">
        <v>156</v>
      </c>
      <c r="O2" s="18" t="b">
        <v>0</v>
      </c>
      <c r="P2" s="26" t="s">
        <v>598</v>
      </c>
    </row>
    <row r="3" spans="1:16" x14ac:dyDescent="0.25">
      <c r="A3" s="26">
        <v>2</v>
      </c>
      <c r="B3" s="26" t="s">
        <v>703</v>
      </c>
      <c r="C3" s="22">
        <v>500000</v>
      </c>
      <c r="D3" s="22">
        <v>3000000</v>
      </c>
      <c r="E3" s="18" t="s">
        <v>575</v>
      </c>
      <c r="F3" s="26" t="s">
        <v>523</v>
      </c>
      <c r="G3" s="26">
        <v>8.6</v>
      </c>
      <c r="H3" s="26">
        <v>32</v>
      </c>
      <c r="I3" s="26">
        <v>64</v>
      </c>
      <c r="J3" s="26">
        <v>74</v>
      </c>
      <c r="K3" s="26">
        <v>120</v>
      </c>
      <c r="L3" s="18" t="b">
        <v>1</v>
      </c>
      <c r="M3" s="26">
        <v>124</v>
      </c>
      <c r="N3" s="26">
        <v>180</v>
      </c>
      <c r="O3" s="18" t="b">
        <v>0</v>
      </c>
      <c r="P3" s="26" t="s">
        <v>598</v>
      </c>
    </row>
    <row r="4" spans="1:16" x14ac:dyDescent="0.25">
      <c r="A4" s="26">
        <v>3</v>
      </c>
      <c r="B4" s="26" t="s">
        <v>703</v>
      </c>
      <c r="C4" s="22">
        <v>500000</v>
      </c>
      <c r="D4" s="22">
        <v>3000000</v>
      </c>
      <c r="E4" s="18" t="s">
        <v>575</v>
      </c>
      <c r="F4" s="26" t="s">
        <v>522</v>
      </c>
      <c r="G4" s="26">
        <v>6</v>
      </c>
      <c r="H4" s="26">
        <v>50</v>
      </c>
      <c r="I4" s="26">
        <v>67</v>
      </c>
      <c r="J4" s="26">
        <v>95</v>
      </c>
      <c r="K4" s="26">
        <v>110</v>
      </c>
      <c r="L4" s="18" t="b">
        <v>1</v>
      </c>
      <c r="M4" s="26">
        <v>134</v>
      </c>
      <c r="N4" s="26">
        <v>156</v>
      </c>
      <c r="O4" s="18" t="b">
        <v>0</v>
      </c>
      <c r="P4" s="26" t="s">
        <v>598</v>
      </c>
    </row>
    <row r="5" spans="1:16" x14ac:dyDescent="0.25">
      <c r="A5" s="26">
        <v>4</v>
      </c>
      <c r="B5" s="26" t="s">
        <v>703</v>
      </c>
      <c r="C5" s="22">
        <v>500000</v>
      </c>
      <c r="D5" s="22">
        <v>3000000</v>
      </c>
      <c r="E5" s="18" t="s">
        <v>575</v>
      </c>
      <c r="F5" s="26" t="s">
        <v>523</v>
      </c>
      <c r="G5" s="26">
        <v>8.6</v>
      </c>
      <c r="H5" s="26">
        <v>32</v>
      </c>
      <c r="I5" s="26">
        <v>64</v>
      </c>
      <c r="J5" s="26">
        <v>74</v>
      </c>
      <c r="K5" s="26">
        <v>120</v>
      </c>
      <c r="L5" s="18" t="b">
        <v>0</v>
      </c>
      <c r="M5" s="26">
        <v>124</v>
      </c>
      <c r="N5" s="26">
        <v>180</v>
      </c>
      <c r="O5" s="18" t="b">
        <v>0</v>
      </c>
      <c r="P5" s="26" t="s">
        <v>598</v>
      </c>
    </row>
    <row r="6" spans="1:16" x14ac:dyDescent="0.25">
      <c r="A6" s="26">
        <v>5</v>
      </c>
      <c r="B6" s="26" t="s">
        <v>704</v>
      </c>
      <c r="C6" s="22">
        <v>50000</v>
      </c>
      <c r="D6" s="22">
        <v>6000000</v>
      </c>
      <c r="E6" s="18" t="s">
        <v>645</v>
      </c>
      <c r="F6" s="26" t="s">
        <v>523</v>
      </c>
      <c r="G6" s="26">
        <v>9.5</v>
      </c>
      <c r="H6" s="26">
        <v>31.5</v>
      </c>
      <c r="I6" s="26">
        <v>85</v>
      </c>
      <c r="J6" s="26">
        <v>60</v>
      </c>
      <c r="K6" s="26">
        <v>127</v>
      </c>
      <c r="L6" s="18" t="b">
        <v>0</v>
      </c>
      <c r="M6" s="26">
        <v>63</v>
      </c>
      <c r="N6" s="26">
        <v>130</v>
      </c>
      <c r="O6" s="18" t="b">
        <v>1</v>
      </c>
      <c r="P6" s="26" t="s">
        <v>598</v>
      </c>
    </row>
    <row r="7" spans="1:16" x14ac:dyDescent="0.25">
      <c r="A7" s="26">
        <v>6</v>
      </c>
      <c r="B7" s="26" t="s">
        <v>704</v>
      </c>
      <c r="C7" s="22">
        <v>50000</v>
      </c>
      <c r="D7" s="22">
        <v>6000000</v>
      </c>
      <c r="E7" s="18" t="s">
        <v>575</v>
      </c>
      <c r="F7" s="26" t="s">
        <v>522</v>
      </c>
      <c r="G7" s="26">
        <v>9.1999999999999993</v>
      </c>
      <c r="H7" s="26">
        <v>43</v>
      </c>
      <c r="I7" s="26">
        <v>85</v>
      </c>
      <c r="J7" s="26">
        <v>81</v>
      </c>
      <c r="K7" s="26">
        <v>145</v>
      </c>
      <c r="L7" s="18" t="b">
        <v>0</v>
      </c>
      <c r="M7" s="26">
        <v>84</v>
      </c>
      <c r="N7" s="26">
        <v>148</v>
      </c>
      <c r="O7" s="18" t="b">
        <v>1</v>
      </c>
      <c r="P7" s="26" t="s">
        <v>598</v>
      </c>
    </row>
    <row r="8" spans="1:16" x14ac:dyDescent="0.25">
      <c r="A8" s="26">
        <v>7</v>
      </c>
      <c r="B8" s="26" t="s">
        <v>704</v>
      </c>
      <c r="C8" s="22">
        <v>50000</v>
      </c>
      <c r="D8" s="22">
        <v>6000000</v>
      </c>
      <c r="E8" s="18" t="s">
        <v>575</v>
      </c>
      <c r="F8" s="26" t="s">
        <v>523</v>
      </c>
      <c r="G8" s="26">
        <v>9.5</v>
      </c>
      <c r="H8" s="26">
        <v>31.5</v>
      </c>
      <c r="I8" s="26">
        <v>85</v>
      </c>
      <c r="J8" s="26">
        <v>60</v>
      </c>
      <c r="K8" s="26">
        <v>127</v>
      </c>
      <c r="L8" s="18" t="b">
        <v>0</v>
      </c>
      <c r="M8" s="26">
        <v>63</v>
      </c>
      <c r="N8" s="26">
        <v>130</v>
      </c>
      <c r="O8" s="18" t="b">
        <v>1</v>
      </c>
      <c r="P8" s="26" t="s">
        <v>598</v>
      </c>
    </row>
    <row r="9" spans="1:16" x14ac:dyDescent="0.25">
      <c r="A9" s="26">
        <v>8</v>
      </c>
      <c r="B9" s="26" t="s">
        <v>704</v>
      </c>
      <c r="C9" s="22">
        <v>50000</v>
      </c>
      <c r="D9" s="22">
        <v>6000000</v>
      </c>
      <c r="E9" s="18" t="s">
        <v>635</v>
      </c>
      <c r="F9" s="26" t="s">
        <v>522</v>
      </c>
      <c r="G9" s="26">
        <v>9.1999999999999993</v>
      </c>
      <c r="H9" s="26">
        <v>43</v>
      </c>
      <c r="I9" s="26">
        <v>85</v>
      </c>
      <c r="J9" s="26">
        <v>81</v>
      </c>
      <c r="K9" s="26">
        <v>145</v>
      </c>
      <c r="L9" s="18" t="b">
        <v>1</v>
      </c>
      <c r="M9" s="26">
        <v>84</v>
      </c>
      <c r="N9" s="26">
        <v>148</v>
      </c>
      <c r="O9" s="18" t="b">
        <v>1</v>
      </c>
      <c r="P9" s="26" t="s">
        <v>598</v>
      </c>
    </row>
    <row r="10" spans="1:16" x14ac:dyDescent="0.25">
      <c r="A10" s="26">
        <v>9</v>
      </c>
      <c r="B10" s="26" t="s">
        <v>704</v>
      </c>
      <c r="C10" s="22">
        <v>50000</v>
      </c>
      <c r="D10" s="22">
        <v>6000000</v>
      </c>
      <c r="E10" s="18" t="s">
        <v>645</v>
      </c>
      <c r="F10" s="26" t="s">
        <v>522</v>
      </c>
      <c r="G10" s="26">
        <v>9.1999999999999993</v>
      </c>
      <c r="H10" s="26">
        <v>43</v>
      </c>
      <c r="I10" s="26">
        <v>85</v>
      </c>
      <c r="J10" s="26">
        <v>81</v>
      </c>
      <c r="K10" s="26">
        <v>145</v>
      </c>
      <c r="L10" s="18" t="b">
        <v>0</v>
      </c>
      <c r="M10" s="26">
        <v>84</v>
      </c>
      <c r="N10" s="26">
        <v>148</v>
      </c>
      <c r="O10" s="18" t="b">
        <v>1</v>
      </c>
      <c r="P10" s="26" t="s">
        <v>598</v>
      </c>
    </row>
    <row r="11" spans="1:16" x14ac:dyDescent="0.25">
      <c r="A11" s="26">
        <v>10</v>
      </c>
      <c r="B11" s="26" t="s">
        <v>704</v>
      </c>
      <c r="C11" s="22">
        <v>50000</v>
      </c>
      <c r="D11" s="22">
        <v>6000000</v>
      </c>
      <c r="E11" s="18" t="s">
        <v>575</v>
      </c>
      <c r="F11" s="26" t="s">
        <v>523</v>
      </c>
      <c r="G11" s="26">
        <v>9.5</v>
      </c>
      <c r="H11" s="26">
        <v>31.5</v>
      </c>
      <c r="I11" s="26">
        <v>85</v>
      </c>
      <c r="J11" s="26">
        <v>60</v>
      </c>
      <c r="K11" s="26">
        <v>127</v>
      </c>
      <c r="L11" s="18" t="b">
        <v>1</v>
      </c>
      <c r="M11" s="26">
        <v>63</v>
      </c>
      <c r="N11" s="26">
        <v>130</v>
      </c>
      <c r="O11" s="18" t="b">
        <v>1</v>
      </c>
      <c r="P11" s="26" t="s">
        <v>598</v>
      </c>
    </row>
    <row r="12" spans="1:16" x14ac:dyDescent="0.25">
      <c r="A12" s="26">
        <v>11</v>
      </c>
      <c r="B12" s="26" t="s">
        <v>704</v>
      </c>
      <c r="C12" s="22">
        <v>50000</v>
      </c>
      <c r="D12" s="22">
        <v>6000000</v>
      </c>
      <c r="E12" s="18" t="s">
        <v>645</v>
      </c>
      <c r="F12" s="26" t="s">
        <v>522</v>
      </c>
      <c r="G12" s="26">
        <v>9.1999999999999993</v>
      </c>
      <c r="H12" s="26">
        <v>43</v>
      </c>
      <c r="I12" s="26">
        <v>85</v>
      </c>
      <c r="J12" s="26">
        <v>81</v>
      </c>
      <c r="K12" s="26">
        <v>145</v>
      </c>
      <c r="L12" s="18" t="b">
        <v>1</v>
      </c>
      <c r="M12" s="26">
        <v>84</v>
      </c>
      <c r="N12" s="26">
        <v>148</v>
      </c>
      <c r="O12" s="18" t="b">
        <v>1</v>
      </c>
      <c r="P12" s="26" t="s">
        <v>598</v>
      </c>
    </row>
    <row r="13" spans="1:16" x14ac:dyDescent="0.25">
      <c r="A13" s="26">
        <v>12</v>
      </c>
      <c r="B13" s="26" t="s">
        <v>704</v>
      </c>
      <c r="C13" s="22">
        <v>50000</v>
      </c>
      <c r="D13" s="22">
        <v>6000000</v>
      </c>
      <c r="E13" s="18" t="s">
        <v>635</v>
      </c>
      <c r="F13" s="26" t="s">
        <v>523</v>
      </c>
      <c r="G13" s="26">
        <v>9.5</v>
      </c>
      <c r="H13" s="26">
        <v>31.5</v>
      </c>
      <c r="I13" s="26">
        <v>85</v>
      </c>
      <c r="J13" s="26">
        <v>60</v>
      </c>
      <c r="K13" s="26">
        <v>127</v>
      </c>
      <c r="L13" s="18" t="b">
        <v>1</v>
      </c>
      <c r="M13" s="26">
        <v>63</v>
      </c>
      <c r="N13" s="26">
        <v>130</v>
      </c>
      <c r="O13" s="18" t="b">
        <v>1</v>
      </c>
      <c r="P13" s="26" t="s">
        <v>598</v>
      </c>
    </row>
    <row r="14" spans="1:16" x14ac:dyDescent="0.25">
      <c r="A14" s="26">
        <v>13</v>
      </c>
      <c r="B14" s="26" t="s">
        <v>704</v>
      </c>
      <c r="C14" s="22">
        <v>50000</v>
      </c>
      <c r="D14" s="22">
        <v>6000000</v>
      </c>
      <c r="E14" s="18" t="s">
        <v>635</v>
      </c>
      <c r="F14" s="26" t="s">
        <v>523</v>
      </c>
      <c r="G14" s="26">
        <v>9.5</v>
      </c>
      <c r="H14" s="26">
        <v>31.5</v>
      </c>
      <c r="I14" s="26">
        <v>85</v>
      </c>
      <c r="J14" s="26">
        <v>60</v>
      </c>
      <c r="K14" s="26">
        <v>127</v>
      </c>
      <c r="L14" s="18" t="b">
        <v>0</v>
      </c>
      <c r="M14" s="26">
        <v>63</v>
      </c>
      <c r="N14" s="26">
        <v>130</v>
      </c>
      <c r="O14" s="18" t="b">
        <v>1</v>
      </c>
      <c r="P14" s="26" t="s">
        <v>598</v>
      </c>
    </row>
    <row r="15" spans="1:16" x14ac:dyDescent="0.25">
      <c r="A15" s="26">
        <v>14</v>
      </c>
      <c r="B15" s="26" t="s">
        <v>704</v>
      </c>
      <c r="C15" s="22">
        <v>50000</v>
      </c>
      <c r="D15" s="22">
        <v>6000000</v>
      </c>
      <c r="E15" s="18" t="s">
        <v>645</v>
      </c>
      <c r="F15" s="26" t="s">
        <v>523</v>
      </c>
      <c r="G15" s="26">
        <v>9.5</v>
      </c>
      <c r="H15" s="26">
        <v>31.5</v>
      </c>
      <c r="I15" s="26">
        <v>85</v>
      </c>
      <c r="J15" s="26">
        <v>60</v>
      </c>
      <c r="K15" s="26">
        <v>127</v>
      </c>
      <c r="L15" s="18" t="b">
        <v>1</v>
      </c>
      <c r="M15" s="26">
        <v>63</v>
      </c>
      <c r="N15" s="26">
        <v>130</v>
      </c>
      <c r="O15" s="18" t="b">
        <v>1</v>
      </c>
      <c r="P15" s="26" t="s">
        <v>598</v>
      </c>
    </row>
    <row r="16" spans="1:16" x14ac:dyDescent="0.25">
      <c r="A16" s="26">
        <v>15</v>
      </c>
      <c r="B16" s="26" t="s">
        <v>704</v>
      </c>
      <c r="C16" s="22">
        <v>50000</v>
      </c>
      <c r="D16" s="22">
        <v>6000000</v>
      </c>
      <c r="E16" s="18" t="s">
        <v>635</v>
      </c>
      <c r="F16" s="26" t="s">
        <v>522</v>
      </c>
      <c r="G16" s="26">
        <v>9.1999999999999993</v>
      </c>
      <c r="H16" s="26">
        <v>43</v>
      </c>
      <c r="I16" s="26">
        <v>85</v>
      </c>
      <c r="J16" s="26">
        <v>81</v>
      </c>
      <c r="K16" s="26">
        <v>145</v>
      </c>
      <c r="L16" s="18" t="b">
        <v>0</v>
      </c>
      <c r="M16" s="26">
        <v>84</v>
      </c>
      <c r="N16" s="26">
        <v>148</v>
      </c>
      <c r="O16" s="18" t="b">
        <v>1</v>
      </c>
      <c r="P16" s="26" t="s">
        <v>598</v>
      </c>
    </row>
    <row r="17" spans="1:16" x14ac:dyDescent="0.25">
      <c r="A17" s="26">
        <v>16</v>
      </c>
      <c r="B17" s="26" t="s">
        <v>704</v>
      </c>
      <c r="C17" s="22">
        <v>50000</v>
      </c>
      <c r="D17" s="22">
        <v>6000000</v>
      </c>
      <c r="E17" s="18" t="s">
        <v>575</v>
      </c>
      <c r="F17" s="26" t="s">
        <v>522</v>
      </c>
      <c r="G17" s="26">
        <v>9.1999999999999993</v>
      </c>
      <c r="H17" s="26">
        <v>43</v>
      </c>
      <c r="I17" s="26">
        <v>85</v>
      </c>
      <c r="J17" s="26">
        <v>81</v>
      </c>
      <c r="K17" s="26">
        <v>145</v>
      </c>
      <c r="L17" s="18" t="b">
        <v>1</v>
      </c>
      <c r="M17" s="26">
        <v>84</v>
      </c>
      <c r="N17" s="26">
        <v>148</v>
      </c>
      <c r="O17" s="18" t="b">
        <v>1</v>
      </c>
      <c r="P17" s="26" t="s">
        <v>598</v>
      </c>
    </row>
    <row r="18" spans="1:16" x14ac:dyDescent="0.25">
      <c r="A18" s="26">
        <v>17</v>
      </c>
      <c r="B18" s="26" t="s">
        <v>705</v>
      </c>
      <c r="C18" s="22">
        <v>180000</v>
      </c>
      <c r="D18" s="22">
        <v>4800000</v>
      </c>
      <c r="E18" s="18" t="s">
        <v>575</v>
      </c>
      <c r="F18" s="26" t="s">
        <v>522</v>
      </c>
      <c r="G18" s="26">
        <v>6.6</v>
      </c>
      <c r="H18" s="26">
        <v>43</v>
      </c>
      <c r="I18" s="26">
        <v>85</v>
      </c>
      <c r="J18" s="26">
        <v>103</v>
      </c>
      <c r="K18" s="26">
        <v>108</v>
      </c>
      <c r="L18" s="18" t="b">
        <v>0</v>
      </c>
      <c r="M18" s="26">
        <v>172</v>
      </c>
      <c r="N18" s="26">
        <v>174</v>
      </c>
      <c r="O18" s="18" t="b">
        <v>0</v>
      </c>
      <c r="P18" s="26" t="s">
        <v>598</v>
      </c>
    </row>
    <row r="19" spans="1:16" x14ac:dyDescent="0.25">
      <c r="A19" s="26">
        <v>18</v>
      </c>
      <c r="B19" s="26" t="s">
        <v>705</v>
      </c>
      <c r="C19" s="22">
        <v>180000</v>
      </c>
      <c r="D19" s="22">
        <v>4800000</v>
      </c>
      <c r="E19" s="18" t="s">
        <v>575</v>
      </c>
      <c r="F19" s="26" t="s">
        <v>523</v>
      </c>
      <c r="G19" s="26">
        <v>8</v>
      </c>
      <c r="H19" s="26">
        <v>34</v>
      </c>
      <c r="I19" s="26">
        <v>62</v>
      </c>
      <c r="J19" s="26">
        <v>80</v>
      </c>
      <c r="K19" s="26">
        <v>110</v>
      </c>
      <c r="L19" s="18" t="b">
        <v>0</v>
      </c>
      <c r="M19" s="26">
        <v>170</v>
      </c>
      <c r="N19" s="26">
        <v>200</v>
      </c>
      <c r="O19" s="18" t="b">
        <v>0</v>
      </c>
      <c r="P19" s="26" t="s">
        <v>598</v>
      </c>
    </row>
    <row r="20" spans="1:16" x14ac:dyDescent="0.25">
      <c r="A20" s="26">
        <v>19</v>
      </c>
      <c r="B20" s="26" t="s">
        <v>705</v>
      </c>
      <c r="C20" s="22">
        <v>180000</v>
      </c>
      <c r="D20" s="22">
        <v>4800000</v>
      </c>
      <c r="E20" s="18" t="s">
        <v>575</v>
      </c>
      <c r="F20" s="26" t="s">
        <v>522</v>
      </c>
      <c r="G20" s="26">
        <v>6.6</v>
      </c>
      <c r="H20" s="26">
        <v>43</v>
      </c>
      <c r="I20" s="26">
        <v>85</v>
      </c>
      <c r="J20" s="26">
        <v>103</v>
      </c>
      <c r="K20" s="26">
        <v>108</v>
      </c>
      <c r="L20" s="18" t="b">
        <v>1</v>
      </c>
      <c r="M20" s="26">
        <v>172</v>
      </c>
      <c r="N20" s="26">
        <v>174</v>
      </c>
      <c r="O20" s="18" t="b">
        <v>0</v>
      </c>
      <c r="P20" s="26" t="s">
        <v>598</v>
      </c>
    </row>
    <row r="21" spans="1:16" x14ac:dyDescent="0.25">
      <c r="A21" s="26">
        <v>20</v>
      </c>
      <c r="B21" s="26" t="s">
        <v>705</v>
      </c>
      <c r="C21" s="22">
        <v>180000</v>
      </c>
      <c r="D21" s="22">
        <v>4800000</v>
      </c>
      <c r="E21" s="18" t="s">
        <v>575</v>
      </c>
      <c r="F21" s="26" t="s">
        <v>523</v>
      </c>
      <c r="G21" s="26">
        <v>8</v>
      </c>
      <c r="H21" s="26">
        <v>34</v>
      </c>
      <c r="I21" s="26">
        <v>62</v>
      </c>
      <c r="J21" s="26">
        <v>80</v>
      </c>
      <c r="K21" s="26">
        <v>110</v>
      </c>
      <c r="L21" s="18" t="b">
        <v>1</v>
      </c>
      <c r="M21" s="26">
        <v>170</v>
      </c>
      <c r="N21" s="26">
        <v>200</v>
      </c>
      <c r="O21" s="18" t="b">
        <v>1</v>
      </c>
      <c r="P21" s="26" t="s">
        <v>598</v>
      </c>
    </row>
    <row r="22" spans="1:16" x14ac:dyDescent="0.25">
      <c r="A22" s="26">
        <v>21</v>
      </c>
      <c r="B22" s="26" t="s">
        <v>706</v>
      </c>
      <c r="C22" s="22">
        <v>200000</v>
      </c>
      <c r="D22" s="22">
        <v>4500000</v>
      </c>
      <c r="E22" s="18" t="s">
        <v>575</v>
      </c>
      <c r="F22" s="26" t="s">
        <v>522</v>
      </c>
      <c r="G22" s="26">
        <v>4.5</v>
      </c>
      <c r="H22" s="26">
        <v>42</v>
      </c>
      <c r="I22" s="26">
        <v>50</v>
      </c>
      <c r="J22" s="26">
        <v>95</v>
      </c>
      <c r="K22" s="26">
        <v>108</v>
      </c>
      <c r="L22" s="18" t="b">
        <v>1</v>
      </c>
      <c r="M22" s="26">
        <v>156</v>
      </c>
      <c r="N22" s="26">
        <v>176</v>
      </c>
      <c r="O22" s="18" t="b">
        <v>1</v>
      </c>
      <c r="P22" s="26" t="s">
        <v>598</v>
      </c>
    </row>
    <row r="23" spans="1:16" x14ac:dyDescent="0.25">
      <c r="A23" s="26">
        <v>22</v>
      </c>
      <c r="B23" s="26" t="s">
        <v>706</v>
      </c>
      <c r="C23" s="22">
        <v>200000</v>
      </c>
      <c r="D23" s="22">
        <v>4500000</v>
      </c>
      <c r="E23" s="18" t="s">
        <v>645</v>
      </c>
      <c r="F23" s="26" t="s">
        <v>523</v>
      </c>
      <c r="G23" s="26">
        <v>8.6</v>
      </c>
      <c r="H23" s="26">
        <v>31</v>
      </c>
      <c r="I23" s="26">
        <v>64</v>
      </c>
      <c r="J23" s="26">
        <v>74</v>
      </c>
      <c r="K23" s="26">
        <v>120</v>
      </c>
      <c r="L23" s="18" t="b">
        <v>0</v>
      </c>
      <c r="M23" s="26">
        <v>128</v>
      </c>
      <c r="N23" s="26">
        <v>180</v>
      </c>
      <c r="O23" s="18" t="b">
        <v>1</v>
      </c>
      <c r="P23" s="26" t="s">
        <v>598</v>
      </c>
    </row>
    <row r="24" spans="1:16" x14ac:dyDescent="0.25">
      <c r="A24" s="26">
        <v>23</v>
      </c>
      <c r="B24" s="26" t="s">
        <v>706</v>
      </c>
      <c r="C24" s="22">
        <v>200000</v>
      </c>
      <c r="D24" s="22">
        <v>4500000</v>
      </c>
      <c r="E24" s="18" t="s">
        <v>645</v>
      </c>
      <c r="F24" s="26" t="s">
        <v>523</v>
      </c>
      <c r="G24" s="26">
        <v>8.6</v>
      </c>
      <c r="H24" s="26">
        <v>31</v>
      </c>
      <c r="I24" s="26">
        <v>64</v>
      </c>
      <c r="J24" s="26">
        <v>74</v>
      </c>
      <c r="K24" s="26">
        <v>120</v>
      </c>
      <c r="L24" s="18" t="b">
        <v>1</v>
      </c>
      <c r="M24" s="26">
        <v>128</v>
      </c>
      <c r="N24" s="26">
        <v>180</v>
      </c>
      <c r="O24" s="18" t="b">
        <v>1</v>
      </c>
      <c r="P24" s="26" t="s">
        <v>598</v>
      </c>
    </row>
    <row r="25" spans="1:16" x14ac:dyDescent="0.25">
      <c r="A25" s="26">
        <v>24</v>
      </c>
      <c r="B25" s="26" t="s">
        <v>706</v>
      </c>
      <c r="C25" s="22">
        <v>200000</v>
      </c>
      <c r="D25" s="22">
        <v>4500000</v>
      </c>
      <c r="E25" s="18" t="s">
        <v>575</v>
      </c>
      <c r="F25" s="26" t="s">
        <v>523</v>
      </c>
      <c r="G25" s="26">
        <v>8.6</v>
      </c>
      <c r="H25" s="26">
        <v>31</v>
      </c>
      <c r="I25" s="26">
        <v>64</v>
      </c>
      <c r="J25" s="26">
        <v>74</v>
      </c>
      <c r="K25" s="26">
        <v>120</v>
      </c>
      <c r="L25" s="18" t="b">
        <v>0</v>
      </c>
      <c r="M25" s="26">
        <v>128</v>
      </c>
      <c r="N25" s="26">
        <v>180</v>
      </c>
      <c r="O25" s="18" t="b">
        <v>1</v>
      </c>
      <c r="P25" s="26" t="s">
        <v>598</v>
      </c>
    </row>
    <row r="26" spans="1:16" x14ac:dyDescent="0.25">
      <c r="A26" s="26">
        <v>25</v>
      </c>
      <c r="B26" s="26" t="s">
        <v>706</v>
      </c>
      <c r="C26" s="22">
        <v>200000</v>
      </c>
      <c r="D26" s="22">
        <v>4500000</v>
      </c>
      <c r="E26" s="18" t="s">
        <v>575</v>
      </c>
      <c r="F26" s="26" t="s">
        <v>523</v>
      </c>
      <c r="G26" s="26">
        <v>8.6</v>
      </c>
      <c r="H26" s="26">
        <v>31</v>
      </c>
      <c r="I26" s="26">
        <v>64</v>
      </c>
      <c r="J26" s="26">
        <v>74</v>
      </c>
      <c r="K26" s="26">
        <v>120</v>
      </c>
      <c r="L26" s="18" t="b">
        <v>1</v>
      </c>
      <c r="M26" s="26">
        <v>128</v>
      </c>
      <c r="N26" s="26">
        <v>180</v>
      </c>
      <c r="O26" s="18" t="b">
        <v>1</v>
      </c>
      <c r="P26" s="26" t="s">
        <v>598</v>
      </c>
    </row>
    <row r="27" spans="1:16" x14ac:dyDescent="0.25">
      <c r="A27" s="26">
        <v>26</v>
      </c>
      <c r="B27" s="26" t="s">
        <v>706</v>
      </c>
      <c r="C27" s="22">
        <v>200000</v>
      </c>
      <c r="D27" s="22">
        <v>4500000</v>
      </c>
      <c r="E27" s="18" t="s">
        <v>575</v>
      </c>
      <c r="F27" s="26" t="s">
        <v>522</v>
      </c>
      <c r="G27" s="26">
        <v>4.5</v>
      </c>
      <c r="H27" s="26">
        <v>42</v>
      </c>
      <c r="I27" s="26">
        <v>50</v>
      </c>
      <c r="J27" s="26">
        <v>95</v>
      </c>
      <c r="K27" s="26">
        <v>108</v>
      </c>
      <c r="L27" s="18" t="b">
        <v>0</v>
      </c>
      <c r="M27" s="26">
        <v>156</v>
      </c>
      <c r="N27" s="26">
        <v>176</v>
      </c>
      <c r="O27" s="18" t="b">
        <v>1</v>
      </c>
      <c r="P27" s="26" t="s">
        <v>598</v>
      </c>
    </row>
    <row r="28" spans="1:16" x14ac:dyDescent="0.25">
      <c r="A28" s="26">
        <v>27</v>
      </c>
      <c r="B28" s="26" t="s">
        <v>707</v>
      </c>
      <c r="C28" s="22">
        <v>250000</v>
      </c>
      <c r="D28" s="22">
        <v>4166666</v>
      </c>
      <c r="E28" s="18" t="s">
        <v>575</v>
      </c>
      <c r="F28" s="26" t="s">
        <v>523</v>
      </c>
      <c r="G28" s="26">
        <v>9.5</v>
      </c>
      <c r="H28" s="26">
        <v>31</v>
      </c>
      <c r="I28" s="26">
        <v>70</v>
      </c>
      <c r="J28" s="26">
        <v>78</v>
      </c>
      <c r="K28" s="26">
        <v>113</v>
      </c>
      <c r="L28" s="18" t="b">
        <v>1</v>
      </c>
      <c r="M28" s="26">
        <v>80</v>
      </c>
      <c r="N28" s="26">
        <v>115</v>
      </c>
      <c r="O28" s="18" t="b">
        <v>1</v>
      </c>
      <c r="P28" s="26" t="s">
        <v>598</v>
      </c>
    </row>
    <row r="29" spans="1:16" x14ac:dyDescent="0.25">
      <c r="A29" s="26">
        <v>28</v>
      </c>
      <c r="B29" s="26" t="s">
        <v>707</v>
      </c>
      <c r="C29" s="22">
        <v>250000</v>
      </c>
      <c r="D29" s="22">
        <v>4166666</v>
      </c>
      <c r="E29" s="18" t="s">
        <v>635</v>
      </c>
      <c r="F29" s="26" t="s">
        <v>523</v>
      </c>
      <c r="G29" s="26">
        <v>9.5</v>
      </c>
      <c r="H29" s="26">
        <v>31</v>
      </c>
      <c r="I29" s="26">
        <v>70</v>
      </c>
      <c r="J29" s="26">
        <v>78</v>
      </c>
      <c r="K29" s="26">
        <v>113</v>
      </c>
      <c r="L29" s="18" t="b">
        <v>1</v>
      </c>
      <c r="M29" s="26">
        <v>80</v>
      </c>
      <c r="N29" s="26">
        <v>115</v>
      </c>
      <c r="O29" s="18" t="b">
        <v>1</v>
      </c>
      <c r="P29" s="26" t="s">
        <v>598</v>
      </c>
    </row>
    <row r="30" spans="1:16" x14ac:dyDescent="0.25">
      <c r="A30" s="26">
        <v>29</v>
      </c>
      <c r="B30" s="26" t="s">
        <v>707</v>
      </c>
      <c r="C30" s="22">
        <v>250000</v>
      </c>
      <c r="D30" s="22">
        <v>4166666</v>
      </c>
      <c r="E30" s="18" t="s">
        <v>575</v>
      </c>
      <c r="F30" s="26" t="s">
        <v>523</v>
      </c>
      <c r="G30" s="26">
        <v>9.5</v>
      </c>
      <c r="H30" s="26">
        <v>31</v>
      </c>
      <c r="I30" s="26">
        <v>70</v>
      </c>
      <c r="J30" s="26">
        <v>78</v>
      </c>
      <c r="K30" s="26">
        <v>113</v>
      </c>
      <c r="L30" s="18" t="b">
        <v>1</v>
      </c>
      <c r="M30" s="26">
        <v>80</v>
      </c>
      <c r="N30" s="26">
        <v>115</v>
      </c>
      <c r="O30" s="18" t="b">
        <v>1</v>
      </c>
      <c r="P30" s="26" t="s">
        <v>598</v>
      </c>
    </row>
    <row r="31" spans="1:16" x14ac:dyDescent="0.25">
      <c r="L31" s="18"/>
    </row>
    <row r="32" spans="1:16" x14ac:dyDescent="0.25">
      <c r="L32" s="18"/>
    </row>
    <row r="33" spans="12:12" x14ac:dyDescent="0.25">
      <c r="L33" s="18"/>
    </row>
    <row r="34" spans="12:12" x14ac:dyDescent="0.25">
      <c r="L34" s="18"/>
    </row>
    <row r="35" spans="12:12" x14ac:dyDescent="0.25">
      <c r="L35" s="18"/>
    </row>
    <row r="36" spans="12:12" x14ac:dyDescent="0.25">
      <c r="L36" s="18"/>
    </row>
    <row r="37" spans="12:12" x14ac:dyDescent="0.25">
      <c r="L37" s="18"/>
    </row>
    <row r="38" spans="12:12" x14ac:dyDescent="0.25">
      <c r="L38" s="18"/>
    </row>
    <row r="39" spans="12:12" x14ac:dyDescent="0.25">
      <c r="L39" s="18"/>
    </row>
    <row r="40" spans="12:12" x14ac:dyDescent="0.25">
      <c r="L40" s="18"/>
    </row>
    <row r="41" spans="12:12" x14ac:dyDescent="0.25">
      <c r="L41" s="18"/>
    </row>
    <row r="42" spans="12:12" x14ac:dyDescent="0.25">
      <c r="L42" s="18"/>
    </row>
    <row r="43" spans="12:12" x14ac:dyDescent="0.25">
      <c r="L43" s="18"/>
    </row>
    <row r="44" spans="12:12" x14ac:dyDescent="0.25">
      <c r="L44" s="18"/>
    </row>
    <row r="45" spans="12:12" x14ac:dyDescent="0.25">
      <c r="L45" s="18"/>
    </row>
    <row r="46" spans="12:12" x14ac:dyDescent="0.25">
      <c r="L46" s="18"/>
    </row>
    <row r="47" spans="12:12" x14ac:dyDescent="0.25">
      <c r="L47" s="18"/>
    </row>
    <row r="48" spans="12:12" x14ac:dyDescent="0.25">
      <c r="L48" s="18"/>
    </row>
    <row r="49" spans="12:12" x14ac:dyDescent="0.25">
      <c r="L49" s="18"/>
    </row>
    <row r="50" spans="12:12" x14ac:dyDescent="0.25">
      <c r="L50" s="18"/>
    </row>
    <row r="51" spans="12:12" x14ac:dyDescent="0.25">
      <c r="L51" s="18"/>
    </row>
    <row r="52" spans="12:12" x14ac:dyDescent="0.25">
      <c r="L52" s="18"/>
    </row>
    <row r="53" spans="12:12" x14ac:dyDescent="0.25">
      <c r="L53" s="18"/>
    </row>
    <row r="54" spans="12:12" x14ac:dyDescent="0.25">
      <c r="L54" s="18"/>
    </row>
    <row r="55" spans="12:12" x14ac:dyDescent="0.25">
      <c r="L55" s="18"/>
    </row>
    <row r="56" spans="12:12" x14ac:dyDescent="0.25">
      <c r="L56" s="18"/>
    </row>
    <row r="57" spans="12:12" x14ac:dyDescent="0.25">
      <c r="L57" s="18"/>
    </row>
    <row r="58" spans="12:12" x14ac:dyDescent="0.25">
      <c r="L58" s="18"/>
    </row>
    <row r="59" spans="12:12" x14ac:dyDescent="0.25">
      <c r="L59" s="18"/>
    </row>
    <row r="60" spans="12:12" x14ac:dyDescent="0.25">
      <c r="L60" s="18"/>
    </row>
    <row r="61" spans="12:12" x14ac:dyDescent="0.25">
      <c r="L61" s="18"/>
    </row>
    <row r="62" spans="12:12" x14ac:dyDescent="0.25">
      <c r="L62" s="18"/>
    </row>
    <row r="63" spans="12:12" x14ac:dyDescent="0.25">
      <c r="L63" s="18"/>
    </row>
    <row r="64" spans="12:12" x14ac:dyDescent="0.25">
      <c r="L64" s="18"/>
    </row>
    <row r="65" spans="12:12" x14ac:dyDescent="0.25">
      <c r="L65" s="18"/>
    </row>
    <row r="66" spans="12:12" x14ac:dyDescent="0.25">
      <c r="L66" s="18"/>
    </row>
    <row r="67" spans="12:12" x14ac:dyDescent="0.25">
      <c r="L67" s="18"/>
    </row>
    <row r="68" spans="12:12" x14ac:dyDescent="0.25">
      <c r="L68" s="18"/>
    </row>
    <row r="69" spans="12:12" x14ac:dyDescent="0.25">
      <c r="L69" s="18"/>
    </row>
    <row r="70" spans="12:12" x14ac:dyDescent="0.25">
      <c r="L70" s="18"/>
    </row>
    <row r="71" spans="12:12" x14ac:dyDescent="0.25">
      <c r="L71" s="18"/>
    </row>
    <row r="72" spans="12:12" x14ac:dyDescent="0.25">
      <c r="L72" s="18"/>
    </row>
    <row r="73" spans="12:12" x14ac:dyDescent="0.25">
      <c r="L73" s="18"/>
    </row>
    <row r="74" spans="12:12" x14ac:dyDescent="0.25">
      <c r="L74" s="18"/>
    </row>
    <row r="75" spans="12:12" x14ac:dyDescent="0.25">
      <c r="L75" s="18"/>
    </row>
    <row r="76" spans="12:12" x14ac:dyDescent="0.25">
      <c r="L76" s="18"/>
    </row>
    <row r="77" spans="12:12" x14ac:dyDescent="0.25">
      <c r="L77" s="18"/>
    </row>
    <row r="78" spans="12:12" x14ac:dyDescent="0.25">
      <c r="L78" s="18"/>
    </row>
    <row r="79" spans="12:12" x14ac:dyDescent="0.25">
      <c r="L79" s="18"/>
    </row>
    <row r="80" spans="12:12" x14ac:dyDescent="0.25">
      <c r="L80" s="18"/>
    </row>
    <row r="81" spans="12:12" x14ac:dyDescent="0.25">
      <c r="L81" s="18"/>
    </row>
    <row r="82" spans="12:12" x14ac:dyDescent="0.25">
      <c r="L82" s="18"/>
    </row>
    <row r="83" spans="12:12" x14ac:dyDescent="0.25">
      <c r="L83" s="18"/>
    </row>
    <row r="84" spans="12:12" x14ac:dyDescent="0.25">
      <c r="L84" s="18"/>
    </row>
    <row r="85" spans="12:12" x14ac:dyDescent="0.25">
      <c r="L85" s="18"/>
    </row>
    <row r="86" spans="12:12" x14ac:dyDescent="0.25">
      <c r="L86" s="18"/>
    </row>
    <row r="87" spans="12:12" x14ac:dyDescent="0.25">
      <c r="L87" s="18"/>
    </row>
    <row r="88" spans="12:12" x14ac:dyDescent="0.25">
      <c r="L88" s="18"/>
    </row>
    <row r="89" spans="12:12" x14ac:dyDescent="0.25">
      <c r="L89" s="18"/>
    </row>
    <row r="90" spans="12:12" x14ac:dyDescent="0.25">
      <c r="L90" s="18"/>
    </row>
    <row r="91" spans="12:12" x14ac:dyDescent="0.25">
      <c r="L91" s="18"/>
    </row>
    <row r="92" spans="12:12" x14ac:dyDescent="0.25">
      <c r="L92" s="18"/>
    </row>
    <row r="93" spans="12:12" x14ac:dyDescent="0.25">
      <c r="L93" s="18"/>
    </row>
    <row r="94" spans="12:12" x14ac:dyDescent="0.25">
      <c r="L94" s="18"/>
    </row>
    <row r="95" spans="12:12" x14ac:dyDescent="0.25">
      <c r="L95" s="18"/>
    </row>
    <row r="96" spans="12:12" x14ac:dyDescent="0.25">
      <c r="L96" s="18"/>
    </row>
    <row r="97" spans="12:12" x14ac:dyDescent="0.25">
      <c r="L97" s="18"/>
    </row>
    <row r="98" spans="12:12" x14ac:dyDescent="0.25">
      <c r="L98" s="18"/>
    </row>
    <row r="99" spans="12:12" x14ac:dyDescent="0.25">
      <c r="L99" s="18"/>
    </row>
    <row r="100" spans="12:12" x14ac:dyDescent="0.25">
      <c r="L100" s="18"/>
    </row>
    <row r="101" spans="12:12" x14ac:dyDescent="0.25">
      <c r="L101" s="18"/>
    </row>
    <row r="102" spans="12:12" x14ac:dyDescent="0.25">
      <c r="L102" s="18"/>
    </row>
    <row r="103" spans="12:12" x14ac:dyDescent="0.25">
      <c r="L103" s="18"/>
    </row>
    <row r="104" spans="12:12" x14ac:dyDescent="0.25">
      <c r="L104" s="18"/>
    </row>
    <row r="105" spans="12:12" x14ac:dyDescent="0.25">
      <c r="L105" s="18"/>
    </row>
    <row r="106" spans="12:12" x14ac:dyDescent="0.25">
      <c r="L106" s="18"/>
    </row>
    <row r="107" spans="12:12" x14ac:dyDescent="0.25">
      <c r="L107" s="18"/>
    </row>
    <row r="108" spans="12:12" x14ac:dyDescent="0.25">
      <c r="L108" s="18"/>
    </row>
    <row r="109" spans="12:12" x14ac:dyDescent="0.25">
      <c r="L109" s="18"/>
    </row>
    <row r="110" spans="12:12" x14ac:dyDescent="0.25">
      <c r="L110" s="18"/>
    </row>
    <row r="111" spans="12:12" x14ac:dyDescent="0.25">
      <c r="L111" s="18"/>
    </row>
    <row r="112" spans="12:12" x14ac:dyDescent="0.25">
      <c r="L112" s="18"/>
    </row>
    <row r="113" spans="12:12" x14ac:dyDescent="0.25">
      <c r="L113" s="18"/>
    </row>
    <row r="114" spans="12:12" x14ac:dyDescent="0.25">
      <c r="L114" s="18"/>
    </row>
    <row r="115" spans="12:12" x14ac:dyDescent="0.25">
      <c r="L115" s="18"/>
    </row>
    <row r="116" spans="12:12" x14ac:dyDescent="0.25">
      <c r="L116" s="18"/>
    </row>
    <row r="117" spans="12:12" x14ac:dyDescent="0.25">
      <c r="L117" s="18"/>
    </row>
    <row r="118" spans="12:12" x14ac:dyDescent="0.25">
      <c r="L118" s="18"/>
    </row>
    <row r="119" spans="12:12" x14ac:dyDescent="0.25">
      <c r="L119" s="18"/>
    </row>
    <row r="120" spans="12:12" x14ac:dyDescent="0.25">
      <c r="L120" s="18"/>
    </row>
    <row r="121" spans="12:12" x14ac:dyDescent="0.25">
      <c r="L121" s="18"/>
    </row>
    <row r="122" spans="12:12" x14ac:dyDescent="0.25">
      <c r="L122" s="18"/>
    </row>
    <row r="123" spans="12:12" x14ac:dyDescent="0.25">
      <c r="L123" s="18"/>
    </row>
    <row r="124" spans="12:12" x14ac:dyDescent="0.25">
      <c r="L124" s="18"/>
    </row>
    <row r="125" spans="12:12" x14ac:dyDescent="0.25">
      <c r="L125" s="18"/>
    </row>
    <row r="126" spans="12:12" x14ac:dyDescent="0.25">
      <c r="L126" s="18"/>
    </row>
    <row r="127" spans="12:12" x14ac:dyDescent="0.25">
      <c r="L127" s="18"/>
    </row>
    <row r="128" spans="12:12" x14ac:dyDescent="0.25">
      <c r="L128" s="18"/>
    </row>
    <row r="129" spans="12:12" x14ac:dyDescent="0.25">
      <c r="L129" s="18"/>
    </row>
    <row r="130" spans="12:12" x14ac:dyDescent="0.25">
      <c r="L130" s="18"/>
    </row>
    <row r="131" spans="12:12" x14ac:dyDescent="0.25">
      <c r="L131" s="18"/>
    </row>
    <row r="132" spans="12:12" x14ac:dyDescent="0.25">
      <c r="L132" s="18"/>
    </row>
    <row r="133" spans="12:12" x14ac:dyDescent="0.25">
      <c r="L133" s="18"/>
    </row>
    <row r="134" spans="12:12" x14ac:dyDescent="0.25">
      <c r="L134" s="18"/>
    </row>
    <row r="135" spans="12:12" x14ac:dyDescent="0.25">
      <c r="L135" s="18"/>
    </row>
    <row r="136" spans="12:12" x14ac:dyDescent="0.25">
      <c r="L136" s="18"/>
    </row>
    <row r="137" spans="12:12" x14ac:dyDescent="0.25">
      <c r="L137" s="18"/>
    </row>
    <row r="138" spans="12:12" x14ac:dyDescent="0.25">
      <c r="L138" s="18"/>
    </row>
    <row r="139" spans="12:12" x14ac:dyDescent="0.25">
      <c r="L139" s="18"/>
    </row>
    <row r="140" spans="12:12" x14ac:dyDescent="0.25">
      <c r="L140" s="18"/>
    </row>
    <row r="141" spans="12:12" x14ac:dyDescent="0.25">
      <c r="L141" s="18"/>
    </row>
    <row r="142" spans="12:12" x14ac:dyDescent="0.25">
      <c r="L142" s="18"/>
    </row>
    <row r="143" spans="12:12" x14ac:dyDescent="0.25">
      <c r="L143" s="18"/>
    </row>
    <row r="144" spans="12:12" x14ac:dyDescent="0.25">
      <c r="L144" s="18"/>
    </row>
    <row r="145" spans="12:12" x14ac:dyDescent="0.25">
      <c r="L145" s="18"/>
    </row>
    <row r="146" spans="12:12" x14ac:dyDescent="0.25">
      <c r="L146" s="18"/>
    </row>
    <row r="147" spans="12:12" x14ac:dyDescent="0.25">
      <c r="L147" s="18"/>
    </row>
    <row r="148" spans="12:12" x14ac:dyDescent="0.25">
      <c r="L148" s="18"/>
    </row>
    <row r="149" spans="12:12" x14ac:dyDescent="0.25">
      <c r="L149" s="18"/>
    </row>
    <row r="150" spans="12:12" x14ac:dyDescent="0.25">
      <c r="L150" s="18"/>
    </row>
    <row r="151" spans="12:12" x14ac:dyDescent="0.25">
      <c r="L151" s="18"/>
    </row>
    <row r="152" spans="12:12" x14ac:dyDescent="0.25">
      <c r="L152" s="18"/>
    </row>
    <row r="153" spans="12:12" x14ac:dyDescent="0.25">
      <c r="L153" s="18"/>
    </row>
    <row r="154" spans="12:12" x14ac:dyDescent="0.25">
      <c r="L154" s="18"/>
    </row>
    <row r="155" spans="12:12" x14ac:dyDescent="0.25">
      <c r="L155" s="18"/>
    </row>
    <row r="156" spans="12:12" x14ac:dyDescent="0.25">
      <c r="L156" s="18"/>
    </row>
    <row r="157" spans="12:12" x14ac:dyDescent="0.25">
      <c r="L157" s="18"/>
    </row>
    <row r="158" spans="12:12" x14ac:dyDescent="0.25">
      <c r="L158" s="18"/>
    </row>
    <row r="159" spans="12:12" x14ac:dyDescent="0.25">
      <c r="L159" s="18"/>
    </row>
    <row r="160" spans="12:12" x14ac:dyDescent="0.25">
      <c r="L160" s="18"/>
    </row>
    <row r="161" spans="12:12" x14ac:dyDescent="0.25">
      <c r="L161" s="18"/>
    </row>
    <row r="162" spans="12:12" x14ac:dyDescent="0.25">
      <c r="L162" s="18"/>
    </row>
    <row r="163" spans="12:12" x14ac:dyDescent="0.25">
      <c r="L163" s="18"/>
    </row>
    <row r="164" spans="12:12" x14ac:dyDescent="0.25">
      <c r="L164" s="18"/>
    </row>
    <row r="165" spans="12:12" x14ac:dyDescent="0.25">
      <c r="L165" s="18"/>
    </row>
    <row r="166" spans="12:12" x14ac:dyDescent="0.25">
      <c r="L166" s="18"/>
    </row>
    <row r="167" spans="12:12" x14ac:dyDescent="0.25">
      <c r="L167" s="18"/>
    </row>
    <row r="168" spans="12:12" x14ac:dyDescent="0.25">
      <c r="L168" s="18"/>
    </row>
    <row r="169" spans="12:12" x14ac:dyDescent="0.25">
      <c r="L169" s="18"/>
    </row>
    <row r="170" spans="12:12" x14ac:dyDescent="0.25">
      <c r="L170" s="18"/>
    </row>
    <row r="171" spans="12:12" x14ac:dyDescent="0.25">
      <c r="L171" s="18"/>
    </row>
    <row r="172" spans="12:12" x14ac:dyDescent="0.25">
      <c r="L172" s="18"/>
    </row>
    <row r="173" spans="12:12" x14ac:dyDescent="0.25">
      <c r="L173" s="18"/>
    </row>
    <row r="174" spans="12:12" x14ac:dyDescent="0.25">
      <c r="L174" s="18"/>
    </row>
    <row r="175" spans="12:12" x14ac:dyDescent="0.25">
      <c r="L175" s="18"/>
    </row>
    <row r="176" spans="12:12" x14ac:dyDescent="0.25">
      <c r="L176" s="18"/>
    </row>
    <row r="177" spans="12:12" x14ac:dyDescent="0.25">
      <c r="L177" s="18"/>
    </row>
    <row r="178" spans="12:12" x14ac:dyDescent="0.25">
      <c r="L178" s="18"/>
    </row>
    <row r="179" spans="12:12" x14ac:dyDescent="0.25">
      <c r="L179" s="18"/>
    </row>
    <row r="180" spans="12:12" x14ac:dyDescent="0.25">
      <c r="L180" s="18"/>
    </row>
    <row r="181" spans="12:12" x14ac:dyDescent="0.25">
      <c r="L181" s="18"/>
    </row>
    <row r="182" spans="12:12" x14ac:dyDescent="0.25">
      <c r="L182" s="18"/>
    </row>
    <row r="183" spans="12:12" x14ac:dyDescent="0.25">
      <c r="L183" s="18"/>
    </row>
    <row r="184" spans="12:12" x14ac:dyDescent="0.25">
      <c r="L184" s="18"/>
    </row>
    <row r="185" spans="12:12" x14ac:dyDescent="0.25">
      <c r="L185" s="18"/>
    </row>
    <row r="186" spans="12:12" x14ac:dyDescent="0.25">
      <c r="L186" s="18"/>
    </row>
    <row r="187" spans="12:12" x14ac:dyDescent="0.25">
      <c r="L187" s="18"/>
    </row>
    <row r="188" spans="12:12" x14ac:dyDescent="0.25">
      <c r="L188" s="18"/>
    </row>
    <row r="189" spans="12:12" x14ac:dyDescent="0.25">
      <c r="L189" s="18"/>
    </row>
    <row r="190" spans="12:12" x14ac:dyDescent="0.25">
      <c r="L190" s="18"/>
    </row>
    <row r="191" spans="12:12" x14ac:dyDescent="0.25">
      <c r="L191" s="18"/>
    </row>
    <row r="192" spans="12:12" x14ac:dyDescent="0.25">
      <c r="L192" s="18"/>
    </row>
    <row r="193" spans="12:12" x14ac:dyDescent="0.25">
      <c r="L193" s="18"/>
    </row>
    <row r="194" spans="12:12" x14ac:dyDescent="0.25">
      <c r="L194" s="18"/>
    </row>
    <row r="195" spans="12:12" x14ac:dyDescent="0.25">
      <c r="L195" s="18"/>
    </row>
    <row r="196" spans="12:12" x14ac:dyDescent="0.25">
      <c r="L196" s="18"/>
    </row>
    <row r="197" spans="12:12" x14ac:dyDescent="0.25">
      <c r="L197" s="18"/>
    </row>
    <row r="198" spans="12:12" x14ac:dyDescent="0.25">
      <c r="L198" s="18"/>
    </row>
    <row r="199" spans="12:12" x14ac:dyDescent="0.25">
      <c r="L199" s="18"/>
    </row>
    <row r="200" spans="12:12" x14ac:dyDescent="0.25">
      <c r="L200" s="18"/>
    </row>
    <row r="201" spans="12:12" x14ac:dyDescent="0.25">
      <c r="L201" s="18"/>
    </row>
    <row r="202" spans="12:12" x14ac:dyDescent="0.25">
      <c r="L202" s="18"/>
    </row>
    <row r="203" spans="12:12" x14ac:dyDescent="0.25">
      <c r="L203" s="18"/>
    </row>
    <row r="204" spans="12:12" x14ac:dyDescent="0.25">
      <c r="L204" s="18"/>
    </row>
    <row r="205" spans="12:12" x14ac:dyDescent="0.25">
      <c r="L205" s="18"/>
    </row>
    <row r="206" spans="12:12" x14ac:dyDescent="0.25">
      <c r="L206" s="18"/>
    </row>
    <row r="207" spans="12:12" x14ac:dyDescent="0.25">
      <c r="L207" s="18"/>
    </row>
    <row r="208" spans="12:12" x14ac:dyDescent="0.25">
      <c r="L208" s="18"/>
    </row>
    <row r="209" spans="12:12" x14ac:dyDescent="0.25">
      <c r="L209" s="18"/>
    </row>
    <row r="210" spans="12:12" x14ac:dyDescent="0.25">
      <c r="L210" s="18"/>
    </row>
    <row r="211" spans="12:12" x14ac:dyDescent="0.25">
      <c r="L211" s="18"/>
    </row>
    <row r="212" spans="12:12" x14ac:dyDescent="0.25">
      <c r="L212" s="18"/>
    </row>
    <row r="213" spans="12:12" x14ac:dyDescent="0.25">
      <c r="L213" s="18"/>
    </row>
    <row r="214" spans="12:12" x14ac:dyDescent="0.25">
      <c r="L214" s="18"/>
    </row>
    <row r="215" spans="12:12" x14ac:dyDescent="0.25">
      <c r="L215" s="18"/>
    </row>
    <row r="216" spans="12:12" x14ac:dyDescent="0.25">
      <c r="L216" s="18"/>
    </row>
    <row r="217" spans="12:12" x14ac:dyDescent="0.25">
      <c r="L217" s="18"/>
    </row>
    <row r="218" spans="12:12" x14ac:dyDescent="0.25">
      <c r="L218" s="18"/>
    </row>
    <row r="219" spans="12:12" x14ac:dyDescent="0.25">
      <c r="L219" s="18"/>
    </row>
    <row r="220" spans="12:12" x14ac:dyDescent="0.25">
      <c r="L220" s="18"/>
    </row>
    <row r="221" spans="12:12" x14ac:dyDescent="0.25">
      <c r="L221" s="18"/>
    </row>
    <row r="222" spans="12:12" x14ac:dyDescent="0.25">
      <c r="L222" s="18"/>
    </row>
    <row r="223" spans="12:12" x14ac:dyDescent="0.25">
      <c r="L223" s="18"/>
    </row>
    <row r="224" spans="12:12" x14ac:dyDescent="0.25">
      <c r="L224" s="18"/>
    </row>
    <row r="225" spans="12:12" x14ac:dyDescent="0.25">
      <c r="L225" s="18"/>
    </row>
    <row r="226" spans="12:12" x14ac:dyDescent="0.25">
      <c r="L226" s="18"/>
    </row>
    <row r="227" spans="12:12" x14ac:dyDescent="0.25">
      <c r="L227" s="18"/>
    </row>
    <row r="228" spans="12:12" x14ac:dyDescent="0.25">
      <c r="L228" s="18"/>
    </row>
    <row r="229" spans="12:12" x14ac:dyDescent="0.25">
      <c r="L229" s="18"/>
    </row>
    <row r="230" spans="12:12" x14ac:dyDescent="0.25">
      <c r="L230" s="18"/>
    </row>
    <row r="231" spans="12:12" x14ac:dyDescent="0.25">
      <c r="L231" s="18"/>
    </row>
    <row r="232" spans="12:12" x14ac:dyDescent="0.25">
      <c r="L232" s="18"/>
    </row>
    <row r="233" spans="12:12" x14ac:dyDescent="0.25">
      <c r="L233" s="18"/>
    </row>
    <row r="234" spans="12:12" x14ac:dyDescent="0.25">
      <c r="L234" s="18"/>
    </row>
    <row r="235" spans="12:12" x14ac:dyDescent="0.25">
      <c r="L235" s="18"/>
    </row>
    <row r="236" spans="12:12" x14ac:dyDescent="0.25">
      <c r="L236" s="18"/>
    </row>
    <row r="237" spans="12:12" x14ac:dyDescent="0.25">
      <c r="L237" s="18"/>
    </row>
    <row r="238" spans="12:12" x14ac:dyDescent="0.25">
      <c r="L238" s="18"/>
    </row>
    <row r="239" spans="12:12" x14ac:dyDescent="0.25">
      <c r="L239" s="18"/>
    </row>
    <row r="240" spans="12:12" x14ac:dyDescent="0.25">
      <c r="L240" s="18"/>
    </row>
    <row r="241" spans="12:12" x14ac:dyDescent="0.25">
      <c r="L241" s="18"/>
    </row>
    <row r="242" spans="12:12" x14ac:dyDescent="0.25">
      <c r="L242" s="18"/>
    </row>
    <row r="243" spans="12:12" x14ac:dyDescent="0.25">
      <c r="L243" s="18"/>
    </row>
    <row r="244" spans="12:12" x14ac:dyDescent="0.25">
      <c r="L244" s="18"/>
    </row>
    <row r="245" spans="12:12" x14ac:dyDescent="0.25">
      <c r="L245" s="18"/>
    </row>
    <row r="246" spans="12:12" x14ac:dyDescent="0.25">
      <c r="L246" s="18"/>
    </row>
    <row r="247" spans="12:12" x14ac:dyDescent="0.25">
      <c r="L247" s="18"/>
    </row>
    <row r="248" spans="12:12" x14ac:dyDescent="0.25">
      <c r="L248" s="18"/>
    </row>
    <row r="249" spans="12:12" x14ac:dyDescent="0.25">
      <c r="L249" s="18"/>
    </row>
    <row r="250" spans="12:12" x14ac:dyDescent="0.25">
      <c r="L250" s="18"/>
    </row>
    <row r="251" spans="12:12" x14ac:dyDescent="0.25">
      <c r="L251" s="18"/>
    </row>
    <row r="252" spans="12:12" x14ac:dyDescent="0.25">
      <c r="L252" s="18"/>
    </row>
    <row r="253" spans="12:12" x14ac:dyDescent="0.25">
      <c r="L253" s="18"/>
    </row>
    <row r="254" spans="12:12" x14ac:dyDescent="0.25">
      <c r="L254" s="18"/>
    </row>
    <row r="255" spans="12:12" x14ac:dyDescent="0.25">
      <c r="L255" s="18"/>
    </row>
    <row r="256" spans="12:12" x14ac:dyDescent="0.25">
      <c r="L256" s="18"/>
    </row>
    <row r="257" spans="12:12" x14ac:dyDescent="0.25">
      <c r="L257" s="18"/>
    </row>
    <row r="258" spans="12:12" x14ac:dyDescent="0.25">
      <c r="L258" s="18"/>
    </row>
    <row r="259" spans="12:12" x14ac:dyDescent="0.25">
      <c r="L259" s="18"/>
    </row>
    <row r="260" spans="12:12" x14ac:dyDescent="0.25">
      <c r="L260" s="18"/>
    </row>
    <row r="261" spans="12:12" x14ac:dyDescent="0.25">
      <c r="L261" s="18"/>
    </row>
    <row r="262" spans="12:12" x14ac:dyDescent="0.25">
      <c r="L262" s="18"/>
    </row>
    <row r="263" spans="12:12" x14ac:dyDescent="0.25">
      <c r="L263" s="18"/>
    </row>
    <row r="264" spans="12:12" x14ac:dyDescent="0.25">
      <c r="L264" s="18"/>
    </row>
    <row r="265" spans="12:12" x14ac:dyDescent="0.25">
      <c r="L265" s="18"/>
    </row>
    <row r="266" spans="12:12" x14ac:dyDescent="0.25">
      <c r="L266" s="18"/>
    </row>
    <row r="267" spans="12:12" x14ac:dyDescent="0.25">
      <c r="L267" s="18"/>
    </row>
    <row r="268" spans="12:12" x14ac:dyDescent="0.25">
      <c r="L268" s="18"/>
    </row>
    <row r="269" spans="12:12" x14ac:dyDescent="0.25">
      <c r="L269" s="18"/>
    </row>
    <row r="270" spans="12:12" x14ac:dyDescent="0.25">
      <c r="L270" s="18"/>
    </row>
    <row r="271" spans="12:12" x14ac:dyDescent="0.25">
      <c r="L271" s="18"/>
    </row>
    <row r="272" spans="12:12" x14ac:dyDescent="0.25">
      <c r="L272" s="18"/>
    </row>
    <row r="273" spans="12:12" x14ac:dyDescent="0.25">
      <c r="L273" s="18"/>
    </row>
    <row r="274" spans="12:12" x14ac:dyDescent="0.25">
      <c r="L274" s="18"/>
    </row>
    <row r="275" spans="12:12" x14ac:dyDescent="0.25">
      <c r="L275" s="18"/>
    </row>
    <row r="276" spans="12:12" x14ac:dyDescent="0.25">
      <c r="L276" s="18"/>
    </row>
    <row r="277" spans="12:12" x14ac:dyDescent="0.25">
      <c r="L277" s="18"/>
    </row>
    <row r="278" spans="12:12" x14ac:dyDescent="0.25">
      <c r="L278" s="18"/>
    </row>
    <row r="279" spans="12:12" x14ac:dyDescent="0.25">
      <c r="L279" s="18"/>
    </row>
    <row r="280" spans="12:12" x14ac:dyDescent="0.25">
      <c r="L280" s="18"/>
    </row>
    <row r="281" spans="12:12" x14ac:dyDescent="0.25">
      <c r="L281" s="18"/>
    </row>
    <row r="282" spans="12:12" x14ac:dyDescent="0.25">
      <c r="L282" s="18"/>
    </row>
    <row r="283" spans="12:12" x14ac:dyDescent="0.25">
      <c r="L283" s="18"/>
    </row>
    <row r="284" spans="12:12" x14ac:dyDescent="0.25">
      <c r="L284" s="18"/>
    </row>
    <row r="285" spans="12:12" x14ac:dyDescent="0.25">
      <c r="L285" s="18"/>
    </row>
    <row r="286" spans="12:12" x14ac:dyDescent="0.25">
      <c r="L286" s="18"/>
    </row>
    <row r="287" spans="12:12" x14ac:dyDescent="0.25">
      <c r="L287" s="18"/>
    </row>
    <row r="288" spans="12:12" x14ac:dyDescent="0.25">
      <c r="L288" s="18"/>
    </row>
    <row r="289" spans="12:12" x14ac:dyDescent="0.25">
      <c r="L289" s="18"/>
    </row>
    <row r="290" spans="12:12" x14ac:dyDescent="0.25">
      <c r="L290" s="18"/>
    </row>
    <row r="291" spans="12:12" x14ac:dyDescent="0.25">
      <c r="L291" s="18"/>
    </row>
    <row r="292" spans="12:12" x14ac:dyDescent="0.25">
      <c r="L292" s="18"/>
    </row>
    <row r="293" spans="12:12" x14ac:dyDescent="0.25">
      <c r="L293" s="18"/>
    </row>
    <row r="294" spans="12:12" x14ac:dyDescent="0.25">
      <c r="L294" s="18"/>
    </row>
    <row r="295" spans="12:12" x14ac:dyDescent="0.25">
      <c r="L295" s="18"/>
    </row>
    <row r="296" spans="12:12" x14ac:dyDescent="0.25">
      <c r="L296" s="18"/>
    </row>
    <row r="297" spans="12:12" x14ac:dyDescent="0.25">
      <c r="L297" s="18"/>
    </row>
    <row r="298" spans="12:12" x14ac:dyDescent="0.25">
      <c r="L298" s="18"/>
    </row>
    <row r="299" spans="12:12" x14ac:dyDescent="0.25">
      <c r="L299" s="18"/>
    </row>
    <row r="300" spans="12:12" x14ac:dyDescent="0.25">
      <c r="L300" s="18"/>
    </row>
    <row r="301" spans="12:12" x14ac:dyDescent="0.25">
      <c r="L301" s="18"/>
    </row>
    <row r="302" spans="12:12" x14ac:dyDescent="0.25">
      <c r="L302" s="18"/>
    </row>
    <row r="303" spans="12:12" x14ac:dyDescent="0.25">
      <c r="L303" s="18"/>
    </row>
    <row r="304" spans="12:12" x14ac:dyDescent="0.25">
      <c r="L304" s="18"/>
    </row>
    <row r="305" spans="12:12" x14ac:dyDescent="0.25">
      <c r="L305" s="18"/>
    </row>
    <row r="306" spans="12:12" x14ac:dyDescent="0.25">
      <c r="L306" s="18"/>
    </row>
    <row r="307" spans="12:12" x14ac:dyDescent="0.25">
      <c r="L307" s="18"/>
    </row>
    <row r="308" spans="12:12" x14ac:dyDescent="0.25">
      <c r="L308" s="18"/>
    </row>
    <row r="309" spans="12:12" x14ac:dyDescent="0.25">
      <c r="L309" s="18"/>
    </row>
    <row r="310" spans="12:12" x14ac:dyDescent="0.25">
      <c r="L310" s="18"/>
    </row>
    <row r="311" spans="12:12" x14ac:dyDescent="0.25">
      <c r="L311" s="18"/>
    </row>
    <row r="312" spans="12:12" x14ac:dyDescent="0.25">
      <c r="L312" s="18"/>
    </row>
    <row r="313" spans="12:12" x14ac:dyDescent="0.25">
      <c r="L313" s="18"/>
    </row>
    <row r="314" spans="12:12" x14ac:dyDescent="0.25">
      <c r="L314" s="18"/>
    </row>
    <row r="315" spans="12:12" x14ac:dyDescent="0.25">
      <c r="L315" s="18"/>
    </row>
    <row r="316" spans="12:12" x14ac:dyDescent="0.25">
      <c r="L316" s="18"/>
    </row>
    <row r="317" spans="12:12" x14ac:dyDescent="0.25">
      <c r="L317" s="18"/>
    </row>
    <row r="318" spans="12:12" x14ac:dyDescent="0.25">
      <c r="L318" s="18"/>
    </row>
    <row r="319" spans="12:12" x14ac:dyDescent="0.25">
      <c r="L319" s="18"/>
    </row>
    <row r="320" spans="12:12" x14ac:dyDescent="0.25">
      <c r="L320" s="18"/>
    </row>
    <row r="321" spans="12:12" x14ac:dyDescent="0.25">
      <c r="L321" s="18"/>
    </row>
    <row r="322" spans="12:12" x14ac:dyDescent="0.25">
      <c r="L322" s="18"/>
    </row>
    <row r="323" spans="12:12" x14ac:dyDescent="0.25">
      <c r="L323" s="18"/>
    </row>
    <row r="324" spans="12:12" x14ac:dyDescent="0.25">
      <c r="L324" s="18"/>
    </row>
    <row r="325" spans="12:12" x14ac:dyDescent="0.25">
      <c r="L325" s="18"/>
    </row>
    <row r="326" spans="12:12" x14ac:dyDescent="0.25">
      <c r="L326" s="18"/>
    </row>
    <row r="327" spans="12:12" x14ac:dyDescent="0.25">
      <c r="L327" s="18"/>
    </row>
    <row r="328" spans="12:12" x14ac:dyDescent="0.25">
      <c r="L328" s="18"/>
    </row>
    <row r="329" spans="12:12" x14ac:dyDescent="0.25">
      <c r="L329" s="18"/>
    </row>
    <row r="330" spans="12:12" x14ac:dyDescent="0.25">
      <c r="L330" s="18"/>
    </row>
    <row r="331" spans="12:12" x14ac:dyDescent="0.25">
      <c r="L331" s="18"/>
    </row>
    <row r="332" spans="12:12" x14ac:dyDescent="0.25">
      <c r="L332" s="18"/>
    </row>
    <row r="333" spans="12:12" x14ac:dyDescent="0.25">
      <c r="L333" s="18"/>
    </row>
    <row r="334" spans="12:12" x14ac:dyDescent="0.25">
      <c r="L334" s="18"/>
    </row>
    <row r="335" spans="12:12" x14ac:dyDescent="0.25">
      <c r="L335" s="18"/>
    </row>
    <row r="336" spans="12:12" x14ac:dyDescent="0.25">
      <c r="L336" s="18"/>
    </row>
    <row r="337" spans="12:12" x14ac:dyDescent="0.25">
      <c r="L337" s="18"/>
    </row>
    <row r="338" spans="12:12" x14ac:dyDescent="0.25">
      <c r="L338" s="18"/>
    </row>
    <row r="339" spans="12:12" x14ac:dyDescent="0.25">
      <c r="L339" s="18"/>
    </row>
    <row r="340" spans="12:12" x14ac:dyDescent="0.25">
      <c r="L340" s="18"/>
    </row>
    <row r="341" spans="12:12" x14ac:dyDescent="0.25">
      <c r="L341" s="18"/>
    </row>
    <row r="342" spans="12:12" x14ac:dyDescent="0.25">
      <c r="L342" s="18"/>
    </row>
    <row r="343" spans="12:12" x14ac:dyDescent="0.25">
      <c r="L343" s="18"/>
    </row>
    <row r="344" spans="12:12" x14ac:dyDescent="0.25">
      <c r="L344" s="18"/>
    </row>
    <row r="345" spans="12:12" x14ac:dyDescent="0.25">
      <c r="L345" s="18"/>
    </row>
    <row r="346" spans="12:12" x14ac:dyDescent="0.25">
      <c r="L346" s="18"/>
    </row>
    <row r="347" spans="12:12" x14ac:dyDescent="0.25">
      <c r="L347" s="18"/>
    </row>
    <row r="348" spans="12:12" x14ac:dyDescent="0.25">
      <c r="L348" s="18"/>
    </row>
    <row r="349" spans="12:12" x14ac:dyDescent="0.25">
      <c r="L349" s="18"/>
    </row>
    <row r="350" spans="12:12" x14ac:dyDescent="0.25">
      <c r="L350" s="18"/>
    </row>
    <row r="351" spans="12:12" x14ac:dyDescent="0.25">
      <c r="L351" s="18"/>
    </row>
    <row r="352" spans="12:12" x14ac:dyDescent="0.25">
      <c r="L352" s="18"/>
    </row>
    <row r="353" spans="12:12" x14ac:dyDescent="0.25">
      <c r="L353" s="18"/>
    </row>
    <row r="354" spans="12:12" x14ac:dyDescent="0.25">
      <c r="L354" s="18"/>
    </row>
    <row r="355" spans="12:12" x14ac:dyDescent="0.25">
      <c r="L355" s="18"/>
    </row>
    <row r="356" spans="12:12" x14ac:dyDescent="0.25">
      <c r="L356" s="18"/>
    </row>
    <row r="357" spans="12:12" x14ac:dyDescent="0.25">
      <c r="L357" s="18"/>
    </row>
    <row r="358" spans="12:12" x14ac:dyDescent="0.25">
      <c r="L358" s="18"/>
    </row>
    <row r="359" spans="12:12" x14ac:dyDescent="0.25">
      <c r="L359" s="18"/>
    </row>
    <row r="360" spans="12:12" x14ac:dyDescent="0.25">
      <c r="L360" s="18"/>
    </row>
    <row r="361" spans="12:12" x14ac:dyDescent="0.25">
      <c r="L361" s="18"/>
    </row>
    <row r="362" spans="12:12" x14ac:dyDescent="0.25">
      <c r="L362" s="18"/>
    </row>
    <row r="363" spans="12:12" x14ac:dyDescent="0.25">
      <c r="L363" s="18"/>
    </row>
    <row r="364" spans="12:12" x14ac:dyDescent="0.25">
      <c r="L364" s="18"/>
    </row>
    <row r="365" spans="12:12" x14ac:dyDescent="0.25">
      <c r="L365" s="18"/>
    </row>
    <row r="366" spans="12:12" x14ac:dyDescent="0.25">
      <c r="L366" s="18"/>
    </row>
    <row r="367" spans="12:12" x14ac:dyDescent="0.25">
      <c r="L367" s="18"/>
    </row>
    <row r="368" spans="12:12" x14ac:dyDescent="0.25">
      <c r="L368" s="18"/>
    </row>
    <row r="369" spans="12:12" x14ac:dyDescent="0.25">
      <c r="L369" s="18"/>
    </row>
    <row r="370" spans="12:12" x14ac:dyDescent="0.25">
      <c r="L370" s="18"/>
    </row>
    <row r="371" spans="12:12" x14ac:dyDescent="0.25">
      <c r="L371" s="18"/>
    </row>
    <row r="372" spans="12:12" x14ac:dyDescent="0.25">
      <c r="L372" s="18"/>
    </row>
    <row r="373" spans="12:12" x14ac:dyDescent="0.25">
      <c r="L373" s="18"/>
    </row>
    <row r="374" spans="12:12" x14ac:dyDescent="0.25">
      <c r="L374" s="18"/>
    </row>
    <row r="375" spans="12:12" x14ac:dyDescent="0.25">
      <c r="L375" s="18"/>
    </row>
    <row r="376" spans="12:12" x14ac:dyDescent="0.25">
      <c r="L376" s="18"/>
    </row>
    <row r="377" spans="12:12" x14ac:dyDescent="0.25">
      <c r="L377" s="18"/>
    </row>
    <row r="378" spans="12:12" x14ac:dyDescent="0.25">
      <c r="L378" s="18"/>
    </row>
    <row r="379" spans="12:12" x14ac:dyDescent="0.25">
      <c r="L379" s="18"/>
    </row>
    <row r="380" spans="12:12" x14ac:dyDescent="0.25">
      <c r="L380" s="18"/>
    </row>
    <row r="381" spans="12:12" x14ac:dyDescent="0.25">
      <c r="L381" s="18"/>
    </row>
    <row r="382" spans="12:12" x14ac:dyDescent="0.25">
      <c r="L382" s="18"/>
    </row>
    <row r="383" spans="12:12" x14ac:dyDescent="0.25">
      <c r="L383" s="18"/>
    </row>
    <row r="384" spans="12:12" x14ac:dyDescent="0.25">
      <c r="L384" s="18"/>
    </row>
    <row r="385" spans="12:12" x14ac:dyDescent="0.25">
      <c r="L385" s="18"/>
    </row>
    <row r="386" spans="12:12" x14ac:dyDescent="0.25">
      <c r="L386" s="18"/>
    </row>
    <row r="387" spans="12:12" x14ac:dyDescent="0.25">
      <c r="L387" s="18"/>
    </row>
    <row r="388" spans="12:12" x14ac:dyDescent="0.25">
      <c r="L388" s="18"/>
    </row>
    <row r="389" spans="12:12" x14ac:dyDescent="0.25">
      <c r="L389" s="18"/>
    </row>
    <row r="390" spans="12:12" x14ac:dyDescent="0.25">
      <c r="L390" s="18"/>
    </row>
    <row r="391" spans="12:12" x14ac:dyDescent="0.25">
      <c r="L391" s="18"/>
    </row>
    <row r="392" spans="12:12" x14ac:dyDescent="0.25">
      <c r="L392" s="18"/>
    </row>
    <row r="393" spans="12:12" x14ac:dyDescent="0.25">
      <c r="L393" s="18"/>
    </row>
    <row r="394" spans="12:12" x14ac:dyDescent="0.25">
      <c r="L394" s="18"/>
    </row>
    <row r="395" spans="12:12" x14ac:dyDescent="0.25">
      <c r="L395" s="18"/>
    </row>
    <row r="396" spans="12:12" x14ac:dyDescent="0.25">
      <c r="L396" s="18"/>
    </row>
    <row r="397" spans="12:12" x14ac:dyDescent="0.25">
      <c r="L397" s="18"/>
    </row>
    <row r="398" spans="12:12" x14ac:dyDescent="0.25">
      <c r="L398" s="18"/>
    </row>
    <row r="399" spans="12:12" x14ac:dyDescent="0.25">
      <c r="L399" s="18"/>
    </row>
    <row r="400" spans="12:12" x14ac:dyDescent="0.25">
      <c r="L400" s="18"/>
    </row>
    <row r="401" spans="12:12" x14ac:dyDescent="0.25">
      <c r="L401" s="18"/>
    </row>
    <row r="402" spans="12:12" x14ac:dyDescent="0.25">
      <c r="L402" s="18"/>
    </row>
    <row r="403" spans="12:12" x14ac:dyDescent="0.25">
      <c r="L403" s="18"/>
    </row>
    <row r="404" spans="12:12" x14ac:dyDescent="0.25">
      <c r="L404" s="18"/>
    </row>
    <row r="405" spans="12:12" x14ac:dyDescent="0.25">
      <c r="L405" s="18"/>
    </row>
    <row r="406" spans="12:12" x14ac:dyDescent="0.25">
      <c r="L406" s="18"/>
    </row>
    <row r="407" spans="12:12" x14ac:dyDescent="0.25">
      <c r="L407" s="18"/>
    </row>
    <row r="408" spans="12:12" x14ac:dyDescent="0.25">
      <c r="L408" s="18"/>
    </row>
    <row r="409" spans="12:12" x14ac:dyDescent="0.25">
      <c r="L409" s="18"/>
    </row>
    <row r="410" spans="12:12" x14ac:dyDescent="0.25">
      <c r="L410" s="18"/>
    </row>
    <row r="411" spans="12:12" x14ac:dyDescent="0.25">
      <c r="L411" s="18"/>
    </row>
    <row r="412" spans="12:12" x14ac:dyDescent="0.25">
      <c r="L412" s="18"/>
    </row>
    <row r="413" spans="12:12" x14ac:dyDescent="0.25">
      <c r="L413" s="18"/>
    </row>
    <row r="414" spans="12:12" x14ac:dyDescent="0.25">
      <c r="L414" s="18"/>
    </row>
    <row r="415" spans="12:12" x14ac:dyDescent="0.25">
      <c r="L415" s="18"/>
    </row>
    <row r="416" spans="12:12" x14ac:dyDescent="0.25">
      <c r="L416" s="18"/>
    </row>
    <row r="417" spans="12:12" x14ac:dyDescent="0.25">
      <c r="L417" s="18"/>
    </row>
    <row r="418" spans="12:12" x14ac:dyDescent="0.25">
      <c r="L418" s="18"/>
    </row>
    <row r="419" spans="12:12" x14ac:dyDescent="0.25">
      <c r="L419" s="18"/>
    </row>
    <row r="420" spans="12:12" x14ac:dyDescent="0.25">
      <c r="L420" s="18"/>
    </row>
    <row r="421" spans="12:12" x14ac:dyDescent="0.25">
      <c r="L421" s="18"/>
    </row>
    <row r="422" spans="12:12" x14ac:dyDescent="0.25">
      <c r="L422" s="18"/>
    </row>
    <row r="423" spans="12:12" x14ac:dyDescent="0.25">
      <c r="L423" s="18"/>
    </row>
    <row r="424" spans="12:12" x14ac:dyDescent="0.25">
      <c r="L424" s="18"/>
    </row>
    <row r="425" spans="12:12" x14ac:dyDescent="0.25">
      <c r="L425" s="18"/>
    </row>
    <row r="426" spans="12:12" x14ac:dyDescent="0.25">
      <c r="L426" s="18"/>
    </row>
    <row r="427" spans="12:12" x14ac:dyDescent="0.25">
      <c r="L427" s="18"/>
    </row>
    <row r="428" spans="12:12" x14ac:dyDescent="0.25">
      <c r="L428" s="18"/>
    </row>
    <row r="429" spans="12:12" x14ac:dyDescent="0.25">
      <c r="L429" s="18"/>
    </row>
    <row r="430" spans="12:12" x14ac:dyDescent="0.25">
      <c r="L430" s="18"/>
    </row>
    <row r="431" spans="12:12" x14ac:dyDescent="0.25">
      <c r="L431" s="18"/>
    </row>
    <row r="432" spans="12:12" x14ac:dyDescent="0.25">
      <c r="L432" s="18"/>
    </row>
    <row r="433" spans="12:12" x14ac:dyDescent="0.25">
      <c r="L433" s="18"/>
    </row>
    <row r="434" spans="12:12" x14ac:dyDescent="0.25">
      <c r="L434" s="18"/>
    </row>
    <row r="435" spans="12:12" x14ac:dyDescent="0.25">
      <c r="L435" s="18"/>
    </row>
    <row r="436" spans="12:12" x14ac:dyDescent="0.25">
      <c r="L436" s="18"/>
    </row>
    <row r="437" spans="12:12" x14ac:dyDescent="0.25">
      <c r="L437" s="18"/>
    </row>
    <row r="438" spans="12:12" x14ac:dyDescent="0.25">
      <c r="L438" s="18"/>
    </row>
    <row r="439" spans="12:12" x14ac:dyDescent="0.25">
      <c r="L439" s="18"/>
    </row>
    <row r="440" spans="12:12" x14ac:dyDescent="0.25">
      <c r="L440" s="18"/>
    </row>
    <row r="441" spans="12:12" x14ac:dyDescent="0.25">
      <c r="L441" s="18"/>
    </row>
    <row r="442" spans="12:12" x14ac:dyDescent="0.25">
      <c r="L442" s="18"/>
    </row>
    <row r="443" spans="12:12" x14ac:dyDescent="0.25">
      <c r="L443" s="18"/>
    </row>
    <row r="444" spans="12:12" x14ac:dyDescent="0.25">
      <c r="L444" s="18"/>
    </row>
    <row r="445" spans="12:12" x14ac:dyDescent="0.25">
      <c r="L445" s="18"/>
    </row>
    <row r="446" spans="12:12" x14ac:dyDescent="0.25">
      <c r="L446" s="18"/>
    </row>
    <row r="447" spans="12:12" x14ac:dyDescent="0.25">
      <c r="L447" s="18"/>
    </row>
    <row r="448" spans="12:12" x14ac:dyDescent="0.25">
      <c r="L448" s="18"/>
    </row>
    <row r="449" spans="12:12" x14ac:dyDescent="0.25">
      <c r="L449" s="18"/>
    </row>
    <row r="450" spans="12:12" x14ac:dyDescent="0.25">
      <c r="L450" s="18"/>
    </row>
    <row r="451" spans="12:12" x14ac:dyDescent="0.25">
      <c r="L451" s="18"/>
    </row>
    <row r="452" spans="12:12" x14ac:dyDescent="0.25">
      <c r="L452" s="18"/>
    </row>
    <row r="453" spans="12:12" x14ac:dyDescent="0.25">
      <c r="L453" s="18"/>
    </row>
    <row r="454" spans="12:12" x14ac:dyDescent="0.25">
      <c r="L454" s="18"/>
    </row>
    <row r="455" spans="12:12" x14ac:dyDescent="0.25">
      <c r="L455" s="18"/>
    </row>
    <row r="456" spans="12:12" x14ac:dyDescent="0.25">
      <c r="L456" s="18"/>
    </row>
    <row r="457" spans="12:12" x14ac:dyDescent="0.25">
      <c r="L457" s="18"/>
    </row>
    <row r="458" spans="12:12" x14ac:dyDescent="0.25">
      <c r="L458" s="18"/>
    </row>
    <row r="459" spans="12:12" x14ac:dyDescent="0.25">
      <c r="L459" s="18"/>
    </row>
    <row r="460" spans="12:12" x14ac:dyDescent="0.25">
      <c r="L460" s="18"/>
    </row>
    <row r="461" spans="12:12" x14ac:dyDescent="0.25">
      <c r="L461" s="18"/>
    </row>
    <row r="462" spans="12:12" x14ac:dyDescent="0.25">
      <c r="L462" s="18"/>
    </row>
    <row r="463" spans="12:12" x14ac:dyDescent="0.25">
      <c r="L463" s="18"/>
    </row>
    <row r="464" spans="12:12" x14ac:dyDescent="0.25">
      <c r="L464" s="18"/>
    </row>
    <row r="465" spans="12:12" x14ac:dyDescent="0.25">
      <c r="L465" s="18"/>
    </row>
    <row r="466" spans="12:12" x14ac:dyDescent="0.25">
      <c r="L466" s="18"/>
    </row>
    <row r="467" spans="12:12" x14ac:dyDescent="0.25">
      <c r="L467" s="18"/>
    </row>
    <row r="468" spans="12:12" x14ac:dyDescent="0.25">
      <c r="L468" s="18"/>
    </row>
    <row r="469" spans="12:12" x14ac:dyDescent="0.25">
      <c r="L469" s="18"/>
    </row>
    <row r="470" spans="12:12" x14ac:dyDescent="0.25">
      <c r="L470" s="18"/>
    </row>
    <row r="471" spans="12:12" x14ac:dyDescent="0.25">
      <c r="L471" s="18"/>
    </row>
    <row r="472" spans="12:12" x14ac:dyDescent="0.25">
      <c r="L472" s="18"/>
    </row>
    <row r="473" spans="12:12" x14ac:dyDescent="0.25">
      <c r="L473" s="18"/>
    </row>
    <row r="474" spans="12:12" x14ac:dyDescent="0.25">
      <c r="L474" s="18"/>
    </row>
    <row r="475" spans="12:12" x14ac:dyDescent="0.25">
      <c r="L475" s="18"/>
    </row>
    <row r="476" spans="12:12" x14ac:dyDescent="0.25">
      <c r="L476" s="18"/>
    </row>
    <row r="477" spans="12:12" x14ac:dyDescent="0.25">
      <c r="L477" s="18"/>
    </row>
    <row r="478" spans="12:12" x14ac:dyDescent="0.25">
      <c r="L478" s="18"/>
    </row>
    <row r="479" spans="12:12" x14ac:dyDescent="0.25">
      <c r="L479" s="18"/>
    </row>
    <row r="480" spans="12:12" x14ac:dyDescent="0.25">
      <c r="L480" s="18"/>
    </row>
    <row r="481" spans="12:12" x14ac:dyDescent="0.25">
      <c r="L481" s="18"/>
    </row>
    <row r="482" spans="12:12" x14ac:dyDescent="0.25">
      <c r="L482" s="18"/>
    </row>
    <row r="483" spans="12:12" x14ac:dyDescent="0.25">
      <c r="L483" s="18"/>
    </row>
    <row r="484" spans="12:12" x14ac:dyDescent="0.25">
      <c r="L484" s="18"/>
    </row>
    <row r="485" spans="12:12" x14ac:dyDescent="0.25">
      <c r="L485" s="18"/>
    </row>
    <row r="486" spans="12:12" x14ac:dyDescent="0.25">
      <c r="L486" s="18"/>
    </row>
    <row r="487" spans="12:12" x14ac:dyDescent="0.25">
      <c r="L487" s="18"/>
    </row>
    <row r="488" spans="12:12" x14ac:dyDescent="0.25">
      <c r="L488" s="18"/>
    </row>
    <row r="489" spans="12:12" x14ac:dyDescent="0.25">
      <c r="L489" s="18"/>
    </row>
    <row r="490" spans="12:12" x14ac:dyDescent="0.25">
      <c r="L490" s="18"/>
    </row>
    <row r="491" spans="12:12" x14ac:dyDescent="0.25">
      <c r="L491" s="18"/>
    </row>
    <row r="492" spans="12:12" x14ac:dyDescent="0.25">
      <c r="L492" s="18"/>
    </row>
    <row r="493" spans="12:12" x14ac:dyDescent="0.25">
      <c r="L493" s="18"/>
    </row>
    <row r="494" spans="12:12" x14ac:dyDescent="0.25">
      <c r="L494" s="18"/>
    </row>
    <row r="495" spans="12:12" x14ac:dyDescent="0.25">
      <c r="L495" s="18"/>
    </row>
    <row r="496" spans="12:12" x14ac:dyDescent="0.25">
      <c r="L496" s="18"/>
    </row>
    <row r="497" spans="12:12" x14ac:dyDescent="0.25">
      <c r="L497" s="18"/>
    </row>
    <row r="498" spans="12:12" x14ac:dyDescent="0.25">
      <c r="L498" s="18"/>
    </row>
    <row r="499" spans="12:12" x14ac:dyDescent="0.25">
      <c r="L499" s="18"/>
    </row>
    <row r="500" spans="12:12" x14ac:dyDescent="0.25">
      <c r="L500" s="18"/>
    </row>
    <row r="501" spans="12:12" x14ac:dyDescent="0.25">
      <c r="L501" s="18"/>
    </row>
    <row r="502" spans="12:12" x14ac:dyDescent="0.25">
      <c r="L502" s="18"/>
    </row>
    <row r="503" spans="12:12" x14ac:dyDescent="0.25">
      <c r="L503" s="18"/>
    </row>
    <row r="504" spans="12:12" x14ac:dyDescent="0.25">
      <c r="L504" s="18"/>
    </row>
    <row r="505" spans="12:12" x14ac:dyDescent="0.25">
      <c r="L505" s="18"/>
    </row>
    <row r="506" spans="12:12" x14ac:dyDescent="0.25">
      <c r="L506" s="18"/>
    </row>
    <row r="507" spans="12:12" x14ac:dyDescent="0.25">
      <c r="L507" s="18"/>
    </row>
    <row r="508" spans="12:12" x14ac:dyDescent="0.25">
      <c r="L508" s="18"/>
    </row>
    <row r="509" spans="12:12" x14ac:dyDescent="0.25">
      <c r="L509" s="18"/>
    </row>
    <row r="510" spans="12:12" x14ac:dyDescent="0.25">
      <c r="L510" s="18"/>
    </row>
    <row r="511" spans="12:12" x14ac:dyDescent="0.25">
      <c r="L511" s="18"/>
    </row>
    <row r="512" spans="12:12" x14ac:dyDescent="0.25">
      <c r="L512" s="18"/>
    </row>
    <row r="513" spans="12:12" x14ac:dyDescent="0.25">
      <c r="L513" s="18"/>
    </row>
    <row r="514" spans="12:12" x14ac:dyDescent="0.25">
      <c r="L514" s="18"/>
    </row>
    <row r="515" spans="12:12" x14ac:dyDescent="0.25">
      <c r="L515" s="18"/>
    </row>
    <row r="516" spans="12:12" x14ac:dyDescent="0.25">
      <c r="L516" s="18"/>
    </row>
    <row r="517" spans="12:12" x14ac:dyDescent="0.25">
      <c r="L517" s="18"/>
    </row>
    <row r="518" spans="12:12" x14ac:dyDescent="0.25">
      <c r="L518" s="18"/>
    </row>
    <row r="519" spans="12:12" x14ac:dyDescent="0.25">
      <c r="L519" s="18"/>
    </row>
    <row r="520" spans="12:12" x14ac:dyDescent="0.25">
      <c r="L520" s="18"/>
    </row>
    <row r="521" spans="12:12" x14ac:dyDescent="0.25">
      <c r="L521" s="18"/>
    </row>
    <row r="522" spans="12:12" x14ac:dyDescent="0.25">
      <c r="L522" s="18"/>
    </row>
    <row r="523" spans="12:12" x14ac:dyDescent="0.25">
      <c r="L523" s="18"/>
    </row>
    <row r="524" spans="12:12" x14ac:dyDescent="0.25">
      <c r="L524" s="18"/>
    </row>
    <row r="525" spans="12:12" x14ac:dyDescent="0.25">
      <c r="L525" s="18"/>
    </row>
    <row r="526" spans="12:12" x14ac:dyDescent="0.25">
      <c r="L526" s="18"/>
    </row>
    <row r="527" spans="12:12" x14ac:dyDescent="0.25">
      <c r="L527" s="18"/>
    </row>
    <row r="528" spans="12:12" x14ac:dyDescent="0.25">
      <c r="L528" s="18"/>
    </row>
    <row r="529" spans="12:12" x14ac:dyDescent="0.25">
      <c r="L529" s="18"/>
    </row>
    <row r="530" spans="12:12" x14ac:dyDescent="0.25">
      <c r="L530" s="18"/>
    </row>
    <row r="531" spans="12:12" x14ac:dyDescent="0.25">
      <c r="L531" s="18"/>
    </row>
    <row r="532" spans="12:12" x14ac:dyDescent="0.25">
      <c r="L532" s="18"/>
    </row>
    <row r="533" spans="12:12" x14ac:dyDescent="0.25">
      <c r="L533" s="18"/>
    </row>
    <row r="534" spans="12:12" x14ac:dyDescent="0.25">
      <c r="L534" s="18"/>
    </row>
    <row r="535" spans="12:12" x14ac:dyDescent="0.25">
      <c r="L535" s="18"/>
    </row>
    <row r="536" spans="12:12" x14ac:dyDescent="0.25">
      <c r="L536" s="18"/>
    </row>
    <row r="537" spans="12:12" x14ac:dyDescent="0.25">
      <c r="L537" s="18"/>
    </row>
    <row r="538" spans="12:12" x14ac:dyDescent="0.25">
      <c r="L538" s="18"/>
    </row>
    <row r="539" spans="12:12" x14ac:dyDescent="0.25">
      <c r="L539" s="18"/>
    </row>
    <row r="540" spans="12:12" x14ac:dyDescent="0.25">
      <c r="L540" s="18"/>
    </row>
    <row r="541" spans="12:12" x14ac:dyDescent="0.25">
      <c r="L541" s="18"/>
    </row>
    <row r="542" spans="12:12" x14ac:dyDescent="0.25">
      <c r="L542" s="18"/>
    </row>
    <row r="543" spans="12:12" x14ac:dyDescent="0.25">
      <c r="L543" s="18"/>
    </row>
    <row r="544" spans="12:12" x14ac:dyDescent="0.25">
      <c r="L544" s="18"/>
    </row>
    <row r="545" spans="12:12" x14ac:dyDescent="0.25">
      <c r="L545" s="18"/>
    </row>
    <row r="546" spans="12:12" x14ac:dyDescent="0.25">
      <c r="L546" s="18"/>
    </row>
    <row r="547" spans="12:12" x14ac:dyDescent="0.25">
      <c r="L547" s="18"/>
    </row>
    <row r="548" spans="12:12" x14ac:dyDescent="0.25">
      <c r="L548" s="18"/>
    </row>
    <row r="549" spans="12:12" x14ac:dyDescent="0.25">
      <c r="L549" s="18"/>
    </row>
    <row r="550" spans="12:12" x14ac:dyDescent="0.25">
      <c r="L550" s="18"/>
    </row>
    <row r="551" spans="12:12" x14ac:dyDescent="0.25">
      <c r="L551" s="18"/>
    </row>
    <row r="552" spans="12:12" x14ac:dyDescent="0.25">
      <c r="L552" s="18"/>
    </row>
    <row r="553" spans="12:12" x14ac:dyDescent="0.25">
      <c r="L553" s="18"/>
    </row>
    <row r="554" spans="12:12" x14ac:dyDescent="0.25">
      <c r="L554" s="18"/>
    </row>
    <row r="555" spans="12:12" x14ac:dyDescent="0.25">
      <c r="L555" s="18"/>
    </row>
    <row r="556" spans="12:12" x14ac:dyDescent="0.25">
      <c r="L556" s="18"/>
    </row>
    <row r="557" spans="12:12" x14ac:dyDescent="0.25">
      <c r="L557" s="18"/>
    </row>
    <row r="558" spans="12:12" x14ac:dyDescent="0.25">
      <c r="L558" s="18"/>
    </row>
    <row r="559" spans="12:12" x14ac:dyDescent="0.25">
      <c r="L559" s="18"/>
    </row>
    <row r="560" spans="12:12" x14ac:dyDescent="0.25">
      <c r="L560" s="18"/>
    </row>
    <row r="561" spans="12:12" x14ac:dyDescent="0.25">
      <c r="L561" s="18"/>
    </row>
    <row r="562" spans="12:12" x14ac:dyDescent="0.25">
      <c r="L562" s="18"/>
    </row>
    <row r="563" spans="12:12" x14ac:dyDescent="0.25">
      <c r="L563" s="18"/>
    </row>
    <row r="564" spans="12:12" x14ac:dyDescent="0.25">
      <c r="L564" s="18"/>
    </row>
    <row r="565" spans="12:12" x14ac:dyDescent="0.25">
      <c r="L565" s="18"/>
    </row>
    <row r="566" spans="12:12" x14ac:dyDescent="0.25">
      <c r="L566" s="18"/>
    </row>
    <row r="567" spans="12:12" x14ac:dyDescent="0.25">
      <c r="L567" s="18"/>
    </row>
    <row r="568" spans="12:12" x14ac:dyDescent="0.25">
      <c r="L568" s="18"/>
    </row>
    <row r="569" spans="12:12" x14ac:dyDescent="0.25">
      <c r="L569" s="18"/>
    </row>
    <row r="570" spans="12:12" x14ac:dyDescent="0.25">
      <c r="L570" s="18"/>
    </row>
    <row r="571" spans="12:12" x14ac:dyDescent="0.25">
      <c r="L571" s="18"/>
    </row>
    <row r="572" spans="12:12" x14ac:dyDescent="0.25">
      <c r="L572" s="18"/>
    </row>
    <row r="573" spans="12:12" x14ac:dyDescent="0.25">
      <c r="L573" s="18"/>
    </row>
    <row r="574" spans="12:12" x14ac:dyDescent="0.25">
      <c r="L574" s="18"/>
    </row>
    <row r="575" spans="12:12" x14ac:dyDescent="0.25">
      <c r="L575" s="18"/>
    </row>
    <row r="576" spans="12:12" x14ac:dyDescent="0.25">
      <c r="L576" s="18"/>
    </row>
    <row r="577" spans="12:12" x14ac:dyDescent="0.25">
      <c r="L577" s="18"/>
    </row>
    <row r="578" spans="12:12" x14ac:dyDescent="0.25">
      <c r="L578" s="18"/>
    </row>
    <row r="579" spans="12:12" x14ac:dyDescent="0.25">
      <c r="L579" s="18"/>
    </row>
    <row r="580" spans="12:12" x14ac:dyDescent="0.25">
      <c r="L580" s="18"/>
    </row>
    <row r="581" spans="12:12" x14ac:dyDescent="0.25">
      <c r="L581" s="18"/>
    </row>
    <row r="582" spans="12:12" x14ac:dyDescent="0.25">
      <c r="L582" s="18"/>
    </row>
    <row r="583" spans="12:12" x14ac:dyDescent="0.25">
      <c r="L583" s="18"/>
    </row>
    <row r="584" spans="12:12" x14ac:dyDescent="0.25">
      <c r="L584" s="18"/>
    </row>
    <row r="585" spans="12:12" x14ac:dyDescent="0.25">
      <c r="L585" s="18"/>
    </row>
    <row r="586" spans="12:12" x14ac:dyDescent="0.25">
      <c r="L586" s="18"/>
    </row>
    <row r="587" spans="12:12" x14ac:dyDescent="0.25">
      <c r="L587" s="18"/>
    </row>
    <row r="588" spans="12:12" x14ac:dyDescent="0.25">
      <c r="L588" s="18"/>
    </row>
    <row r="589" spans="12:12" x14ac:dyDescent="0.25">
      <c r="L589" s="18"/>
    </row>
    <row r="590" spans="12:12" x14ac:dyDescent="0.25">
      <c r="L590" s="18"/>
    </row>
    <row r="591" spans="12:12" x14ac:dyDescent="0.25">
      <c r="L591" s="18"/>
    </row>
    <row r="592" spans="12:12" x14ac:dyDescent="0.25">
      <c r="L592" s="18"/>
    </row>
    <row r="593" spans="12:12" x14ac:dyDescent="0.25">
      <c r="L593" s="18"/>
    </row>
    <row r="594" spans="12:12" x14ac:dyDescent="0.25">
      <c r="L594" s="18"/>
    </row>
    <row r="595" spans="12:12" x14ac:dyDescent="0.25">
      <c r="L595" s="18"/>
    </row>
    <row r="596" spans="12:12" x14ac:dyDescent="0.25">
      <c r="L596" s="18"/>
    </row>
    <row r="597" spans="12:12" x14ac:dyDescent="0.25">
      <c r="L597" s="18"/>
    </row>
    <row r="598" spans="12:12" x14ac:dyDescent="0.25">
      <c r="L598" s="18"/>
    </row>
    <row r="599" spans="12:12" x14ac:dyDescent="0.25">
      <c r="L599" s="18"/>
    </row>
    <row r="600" spans="12:12" x14ac:dyDescent="0.25">
      <c r="L600" s="18"/>
    </row>
    <row r="601" spans="12:12" x14ac:dyDescent="0.25">
      <c r="L601" s="18"/>
    </row>
    <row r="602" spans="12:12" x14ac:dyDescent="0.25">
      <c r="L602" s="18"/>
    </row>
    <row r="603" spans="12:12" x14ac:dyDescent="0.25">
      <c r="L603" s="18"/>
    </row>
    <row r="604" spans="12:12" x14ac:dyDescent="0.25">
      <c r="L604" s="18"/>
    </row>
    <row r="605" spans="12:12" x14ac:dyDescent="0.25">
      <c r="L605" s="18"/>
    </row>
    <row r="606" spans="12:12" x14ac:dyDescent="0.25">
      <c r="L606" s="18"/>
    </row>
    <row r="607" spans="12:12" x14ac:dyDescent="0.25">
      <c r="L607" s="18"/>
    </row>
    <row r="608" spans="12:12" x14ac:dyDescent="0.25">
      <c r="L608" s="18"/>
    </row>
    <row r="609" spans="12:12" x14ac:dyDescent="0.25">
      <c r="L609" s="18"/>
    </row>
    <row r="610" spans="12:12" x14ac:dyDescent="0.25">
      <c r="L610" s="18"/>
    </row>
    <row r="611" spans="12:12" x14ac:dyDescent="0.25">
      <c r="L611" s="18"/>
    </row>
    <row r="612" spans="12:12" x14ac:dyDescent="0.25">
      <c r="L612" s="18"/>
    </row>
    <row r="613" spans="12:12" x14ac:dyDescent="0.25">
      <c r="L613" s="18"/>
    </row>
    <row r="614" spans="12:12" x14ac:dyDescent="0.25">
      <c r="L614" s="18"/>
    </row>
    <row r="615" spans="12:12" x14ac:dyDescent="0.25">
      <c r="L615" s="18"/>
    </row>
    <row r="616" spans="12:12" x14ac:dyDescent="0.25">
      <c r="L616" s="18"/>
    </row>
    <row r="617" spans="12:12" x14ac:dyDescent="0.25">
      <c r="L617" s="18"/>
    </row>
    <row r="618" spans="12:12" x14ac:dyDescent="0.25">
      <c r="L618" s="18"/>
    </row>
    <row r="619" spans="12:12" x14ac:dyDescent="0.25">
      <c r="L619" s="18"/>
    </row>
    <row r="620" spans="12:12" x14ac:dyDescent="0.25">
      <c r="L620" s="18"/>
    </row>
    <row r="621" spans="12:12" x14ac:dyDescent="0.25">
      <c r="L621" s="18"/>
    </row>
    <row r="622" spans="12:12" x14ac:dyDescent="0.25">
      <c r="L622" s="18"/>
    </row>
    <row r="623" spans="12:12" x14ac:dyDescent="0.25">
      <c r="L623" s="18"/>
    </row>
    <row r="624" spans="12:12" x14ac:dyDescent="0.25">
      <c r="L624" s="18"/>
    </row>
    <row r="625" spans="12:12" x14ac:dyDescent="0.25">
      <c r="L625" s="18"/>
    </row>
    <row r="626" spans="12:12" x14ac:dyDescent="0.25">
      <c r="L626" s="18"/>
    </row>
    <row r="627" spans="12:12" x14ac:dyDescent="0.25">
      <c r="L627" s="18"/>
    </row>
    <row r="628" spans="12:12" x14ac:dyDescent="0.25">
      <c r="L628" s="18"/>
    </row>
    <row r="629" spans="12:12" x14ac:dyDescent="0.25">
      <c r="L629" s="18"/>
    </row>
    <row r="630" spans="12:12" x14ac:dyDescent="0.25">
      <c r="L630" s="18"/>
    </row>
    <row r="631" spans="12:12" x14ac:dyDescent="0.25">
      <c r="L631" s="18"/>
    </row>
    <row r="632" spans="12:12" x14ac:dyDescent="0.25">
      <c r="L632" s="18"/>
    </row>
    <row r="633" spans="12:12" x14ac:dyDescent="0.25">
      <c r="L633" s="18"/>
    </row>
    <row r="634" spans="12:12" x14ac:dyDescent="0.25">
      <c r="L634" s="18"/>
    </row>
    <row r="635" spans="12:12" x14ac:dyDescent="0.25">
      <c r="L635" s="18"/>
    </row>
    <row r="636" spans="12:12" x14ac:dyDescent="0.25">
      <c r="L636" s="18"/>
    </row>
    <row r="637" spans="12:12" x14ac:dyDescent="0.25">
      <c r="L637" s="18"/>
    </row>
    <row r="638" spans="12:12" x14ac:dyDescent="0.25">
      <c r="L638" s="18"/>
    </row>
    <row r="639" spans="12:12" x14ac:dyDescent="0.25">
      <c r="L639" s="18"/>
    </row>
    <row r="640" spans="12:12" x14ac:dyDescent="0.25">
      <c r="L640" s="18"/>
    </row>
    <row r="641" spans="12:12" x14ac:dyDescent="0.25">
      <c r="L641" s="18"/>
    </row>
    <row r="642" spans="12:12" x14ac:dyDescent="0.25">
      <c r="L642" s="18"/>
    </row>
    <row r="643" spans="12:12" x14ac:dyDescent="0.25">
      <c r="L643" s="18"/>
    </row>
    <row r="644" spans="12:12" x14ac:dyDescent="0.25">
      <c r="L644" s="18"/>
    </row>
    <row r="645" spans="12:12" x14ac:dyDescent="0.25">
      <c r="L645" s="18"/>
    </row>
    <row r="646" spans="12:12" x14ac:dyDescent="0.25">
      <c r="L646" s="18"/>
    </row>
    <row r="647" spans="12:12" x14ac:dyDescent="0.25">
      <c r="L647" s="18"/>
    </row>
    <row r="648" spans="12:12" x14ac:dyDescent="0.25">
      <c r="L648" s="18"/>
    </row>
    <row r="649" spans="12:12" x14ac:dyDescent="0.25">
      <c r="L649" s="18"/>
    </row>
    <row r="650" spans="12:12" x14ac:dyDescent="0.25">
      <c r="L650" s="18"/>
    </row>
    <row r="651" spans="12:12" x14ac:dyDescent="0.25">
      <c r="L651" s="18"/>
    </row>
    <row r="652" spans="12:12" x14ac:dyDescent="0.25">
      <c r="L652" s="18"/>
    </row>
    <row r="653" spans="12:12" x14ac:dyDescent="0.25">
      <c r="L653" s="18"/>
    </row>
    <row r="654" spans="12:12" x14ac:dyDescent="0.25">
      <c r="L654" s="18"/>
    </row>
    <row r="655" spans="12:12" x14ac:dyDescent="0.25">
      <c r="L655" s="18"/>
    </row>
    <row r="656" spans="12:12" x14ac:dyDescent="0.25">
      <c r="L656" s="18"/>
    </row>
    <row r="657" spans="12:12" x14ac:dyDescent="0.25">
      <c r="L657" s="18"/>
    </row>
    <row r="658" spans="12:12" x14ac:dyDescent="0.25">
      <c r="L658" s="18"/>
    </row>
    <row r="659" spans="12:12" x14ac:dyDescent="0.25">
      <c r="L659" s="18"/>
    </row>
    <row r="660" spans="12:12" x14ac:dyDescent="0.25">
      <c r="L660" s="18"/>
    </row>
    <row r="661" spans="12:12" x14ac:dyDescent="0.25">
      <c r="L661" s="18"/>
    </row>
    <row r="662" spans="12:12" x14ac:dyDescent="0.25">
      <c r="L662" s="18"/>
    </row>
    <row r="663" spans="12:12" x14ac:dyDescent="0.25">
      <c r="L663" s="18"/>
    </row>
    <row r="664" spans="12:12" x14ac:dyDescent="0.25">
      <c r="L664" s="18"/>
    </row>
    <row r="665" spans="12:12" x14ac:dyDescent="0.25">
      <c r="L665" s="18"/>
    </row>
    <row r="666" spans="12:12" x14ac:dyDescent="0.25">
      <c r="L666" s="18"/>
    </row>
    <row r="667" spans="12:12" x14ac:dyDescent="0.25">
      <c r="L667" s="18"/>
    </row>
    <row r="668" spans="12:12" x14ac:dyDescent="0.25">
      <c r="L668" s="18"/>
    </row>
    <row r="669" spans="12:12" x14ac:dyDescent="0.25">
      <c r="L669" s="18"/>
    </row>
    <row r="670" spans="12:12" x14ac:dyDescent="0.25">
      <c r="L670" s="18"/>
    </row>
    <row r="671" spans="12:12" x14ac:dyDescent="0.25">
      <c r="L671" s="18"/>
    </row>
    <row r="672" spans="12:12" x14ac:dyDescent="0.25">
      <c r="L672" s="18"/>
    </row>
    <row r="673" spans="12:12" x14ac:dyDescent="0.25">
      <c r="L673" s="18"/>
    </row>
    <row r="674" spans="12:12" x14ac:dyDescent="0.25">
      <c r="L674" s="18"/>
    </row>
    <row r="675" spans="12:12" x14ac:dyDescent="0.25">
      <c r="L675" s="18"/>
    </row>
    <row r="676" spans="12:12" x14ac:dyDescent="0.25">
      <c r="L676" s="18"/>
    </row>
    <row r="677" spans="12:12" x14ac:dyDescent="0.25">
      <c r="L677" s="18"/>
    </row>
    <row r="678" spans="12:12" x14ac:dyDescent="0.25">
      <c r="L678" s="18"/>
    </row>
    <row r="679" spans="12:12" x14ac:dyDescent="0.25">
      <c r="L679" s="18"/>
    </row>
    <row r="680" spans="12:12" x14ac:dyDescent="0.25">
      <c r="L680" s="18"/>
    </row>
    <row r="681" spans="12:12" x14ac:dyDescent="0.25">
      <c r="L681" s="18"/>
    </row>
    <row r="682" spans="12:12" x14ac:dyDescent="0.25">
      <c r="L682" s="18"/>
    </row>
    <row r="683" spans="12:12" x14ac:dyDescent="0.25">
      <c r="L683" s="18"/>
    </row>
    <row r="684" spans="12:12" x14ac:dyDescent="0.25">
      <c r="L684" s="18"/>
    </row>
    <row r="685" spans="12:12" x14ac:dyDescent="0.25">
      <c r="L685" s="18"/>
    </row>
    <row r="686" spans="12:12" x14ac:dyDescent="0.25">
      <c r="L686" s="18"/>
    </row>
    <row r="687" spans="12:12" x14ac:dyDescent="0.25">
      <c r="L687" s="18"/>
    </row>
    <row r="688" spans="12:12" x14ac:dyDescent="0.25">
      <c r="L688" s="18"/>
    </row>
    <row r="689" spans="12:12" x14ac:dyDescent="0.25">
      <c r="L689" s="18"/>
    </row>
    <row r="690" spans="12:12" x14ac:dyDescent="0.25">
      <c r="L690" s="18"/>
    </row>
    <row r="691" spans="12:12" x14ac:dyDescent="0.25">
      <c r="L691" s="18"/>
    </row>
    <row r="692" spans="12:12" x14ac:dyDescent="0.25">
      <c r="L692" s="18"/>
    </row>
    <row r="693" spans="12:12" x14ac:dyDescent="0.25">
      <c r="L693" s="18"/>
    </row>
    <row r="694" spans="12:12" x14ac:dyDescent="0.25">
      <c r="L694" s="18"/>
    </row>
    <row r="695" spans="12:12" x14ac:dyDescent="0.25">
      <c r="L695" s="18"/>
    </row>
    <row r="696" spans="12:12" x14ac:dyDescent="0.25">
      <c r="L696" s="18"/>
    </row>
    <row r="697" spans="12:12" x14ac:dyDescent="0.25">
      <c r="L697" s="18"/>
    </row>
    <row r="698" spans="12:12" x14ac:dyDescent="0.25">
      <c r="L698" s="18"/>
    </row>
    <row r="699" spans="12:12" x14ac:dyDescent="0.25">
      <c r="L699" s="18"/>
    </row>
    <row r="700" spans="12:12" x14ac:dyDescent="0.25">
      <c r="L700" s="18"/>
    </row>
    <row r="701" spans="12:12" x14ac:dyDescent="0.25">
      <c r="L701" s="18"/>
    </row>
    <row r="702" spans="12:12" x14ac:dyDescent="0.25">
      <c r="L702" s="18"/>
    </row>
    <row r="703" spans="12:12" x14ac:dyDescent="0.25">
      <c r="L703" s="18"/>
    </row>
    <row r="704" spans="12:12" x14ac:dyDescent="0.25">
      <c r="L704" s="18"/>
    </row>
    <row r="705" spans="12:12" x14ac:dyDescent="0.25">
      <c r="L705" s="18"/>
    </row>
    <row r="706" spans="12:12" x14ac:dyDescent="0.25">
      <c r="L706" s="18"/>
    </row>
    <row r="707" spans="12:12" x14ac:dyDescent="0.25">
      <c r="L707" s="18"/>
    </row>
    <row r="708" spans="12:12" x14ac:dyDescent="0.25">
      <c r="L708" s="18"/>
    </row>
    <row r="709" spans="12:12" x14ac:dyDescent="0.25">
      <c r="L709" s="18"/>
    </row>
    <row r="710" spans="12:12" x14ac:dyDescent="0.25">
      <c r="L710" s="18"/>
    </row>
    <row r="711" spans="12:12" x14ac:dyDescent="0.25">
      <c r="L711" s="18"/>
    </row>
    <row r="712" spans="12:12" x14ac:dyDescent="0.25">
      <c r="L712" s="18"/>
    </row>
    <row r="713" spans="12:12" x14ac:dyDescent="0.25">
      <c r="L713" s="18"/>
    </row>
    <row r="714" spans="12:12" x14ac:dyDescent="0.25">
      <c r="L714" s="18"/>
    </row>
    <row r="715" spans="12:12" x14ac:dyDescent="0.25">
      <c r="L715" s="18"/>
    </row>
    <row r="716" spans="12:12" x14ac:dyDescent="0.25">
      <c r="L716" s="18"/>
    </row>
    <row r="717" spans="12:12" x14ac:dyDescent="0.25">
      <c r="L717" s="18"/>
    </row>
    <row r="718" spans="12:12" x14ac:dyDescent="0.25">
      <c r="L718" s="18"/>
    </row>
    <row r="719" spans="12:12" x14ac:dyDescent="0.25">
      <c r="L719" s="18"/>
    </row>
    <row r="720" spans="12:12" x14ac:dyDescent="0.25">
      <c r="L720" s="18"/>
    </row>
    <row r="721" spans="12:12" x14ac:dyDescent="0.25">
      <c r="L721" s="18"/>
    </row>
    <row r="722" spans="12:12" x14ac:dyDescent="0.25">
      <c r="L722" s="18"/>
    </row>
    <row r="723" spans="12:12" x14ac:dyDescent="0.25">
      <c r="L723" s="18"/>
    </row>
    <row r="724" spans="12:12" x14ac:dyDescent="0.25">
      <c r="L724" s="18"/>
    </row>
    <row r="725" spans="12:12" x14ac:dyDescent="0.25">
      <c r="L725" s="18"/>
    </row>
    <row r="726" spans="12:12" x14ac:dyDescent="0.25">
      <c r="L726" s="18"/>
    </row>
    <row r="727" spans="12:12" x14ac:dyDescent="0.25">
      <c r="L727" s="18"/>
    </row>
    <row r="728" spans="12:12" x14ac:dyDescent="0.25">
      <c r="L728" s="18"/>
    </row>
    <row r="729" spans="12:12" x14ac:dyDescent="0.25">
      <c r="L729" s="18"/>
    </row>
    <row r="730" spans="12:12" x14ac:dyDescent="0.25">
      <c r="L730" s="18"/>
    </row>
    <row r="731" spans="12:12" x14ac:dyDescent="0.25">
      <c r="L731" s="18"/>
    </row>
    <row r="732" spans="12:12" x14ac:dyDescent="0.25">
      <c r="L732" s="18"/>
    </row>
    <row r="733" spans="12:12" x14ac:dyDescent="0.25">
      <c r="L733" s="18"/>
    </row>
    <row r="734" spans="12:12" x14ac:dyDescent="0.25">
      <c r="L734" s="18"/>
    </row>
    <row r="735" spans="12:12" x14ac:dyDescent="0.25">
      <c r="L735" s="18"/>
    </row>
    <row r="736" spans="12:12" x14ac:dyDescent="0.25">
      <c r="L736" s="18"/>
    </row>
    <row r="737" spans="12:12" x14ac:dyDescent="0.25">
      <c r="L737" s="18"/>
    </row>
    <row r="738" spans="12:12" x14ac:dyDescent="0.25">
      <c r="L738" s="18"/>
    </row>
    <row r="739" spans="12:12" x14ac:dyDescent="0.25">
      <c r="L739" s="18"/>
    </row>
    <row r="740" spans="12:12" x14ac:dyDescent="0.25">
      <c r="L740" s="18"/>
    </row>
    <row r="741" spans="12:12" x14ac:dyDescent="0.25">
      <c r="L741" s="18"/>
    </row>
    <row r="742" spans="12:12" x14ac:dyDescent="0.25">
      <c r="L742" s="18"/>
    </row>
    <row r="743" spans="12:12" x14ac:dyDescent="0.25">
      <c r="L743" s="18"/>
    </row>
    <row r="744" spans="12:12" x14ac:dyDescent="0.25">
      <c r="L744" s="18"/>
    </row>
    <row r="745" spans="12:12" x14ac:dyDescent="0.25">
      <c r="L745" s="18"/>
    </row>
    <row r="746" spans="12:12" x14ac:dyDescent="0.25">
      <c r="L746" s="18"/>
    </row>
    <row r="747" spans="12:12" x14ac:dyDescent="0.25">
      <c r="L747" s="18"/>
    </row>
    <row r="748" spans="12:12" x14ac:dyDescent="0.25">
      <c r="L748" s="18"/>
    </row>
    <row r="749" spans="12:12" x14ac:dyDescent="0.25">
      <c r="L749" s="18"/>
    </row>
    <row r="750" spans="12:12" x14ac:dyDescent="0.25">
      <c r="L750" s="18"/>
    </row>
    <row r="751" spans="12:12" x14ac:dyDescent="0.25">
      <c r="L751" s="18"/>
    </row>
    <row r="752" spans="12:12" x14ac:dyDescent="0.25">
      <c r="L752" s="18"/>
    </row>
    <row r="753" spans="12:12" x14ac:dyDescent="0.25">
      <c r="L753" s="18"/>
    </row>
    <row r="754" spans="12:12" x14ac:dyDescent="0.25">
      <c r="L754" s="18"/>
    </row>
    <row r="755" spans="12:12" x14ac:dyDescent="0.25">
      <c r="L755" s="18"/>
    </row>
    <row r="756" spans="12:12" x14ac:dyDescent="0.25">
      <c r="L756" s="18"/>
    </row>
    <row r="757" spans="12:12" x14ac:dyDescent="0.25">
      <c r="L757" s="18"/>
    </row>
    <row r="758" spans="12:12" x14ac:dyDescent="0.25">
      <c r="L758" s="18"/>
    </row>
    <row r="759" spans="12:12" x14ac:dyDescent="0.25">
      <c r="L759" s="18"/>
    </row>
    <row r="760" spans="12:12" x14ac:dyDescent="0.25">
      <c r="L760" s="18"/>
    </row>
    <row r="761" spans="12:12" x14ac:dyDescent="0.25">
      <c r="L761" s="18"/>
    </row>
    <row r="762" spans="12:12" x14ac:dyDescent="0.25">
      <c r="L762" s="18"/>
    </row>
    <row r="763" spans="12:12" x14ac:dyDescent="0.25">
      <c r="L763" s="18"/>
    </row>
    <row r="764" spans="12:12" x14ac:dyDescent="0.25">
      <c r="L764" s="18"/>
    </row>
    <row r="765" spans="12:12" x14ac:dyDescent="0.25">
      <c r="L765" s="18"/>
    </row>
    <row r="766" spans="12:12" x14ac:dyDescent="0.25">
      <c r="L766" s="18"/>
    </row>
    <row r="767" spans="12:12" x14ac:dyDescent="0.25">
      <c r="L767" s="18"/>
    </row>
    <row r="768" spans="12:12" x14ac:dyDescent="0.25">
      <c r="L768" s="18"/>
    </row>
    <row r="769" spans="12:12" x14ac:dyDescent="0.25">
      <c r="L769" s="18"/>
    </row>
    <row r="770" spans="12:12" x14ac:dyDescent="0.25">
      <c r="L770" s="18"/>
    </row>
    <row r="771" spans="12:12" x14ac:dyDescent="0.25">
      <c r="L771" s="18"/>
    </row>
    <row r="772" spans="12:12" x14ac:dyDescent="0.25">
      <c r="L772" s="18"/>
    </row>
    <row r="773" spans="12:12" x14ac:dyDescent="0.25">
      <c r="L773" s="18"/>
    </row>
    <row r="774" spans="12:12" x14ac:dyDescent="0.25">
      <c r="L774" s="18"/>
    </row>
    <row r="775" spans="12:12" x14ac:dyDescent="0.25">
      <c r="L775" s="18"/>
    </row>
    <row r="776" spans="12:12" x14ac:dyDescent="0.25">
      <c r="L776" s="18"/>
    </row>
    <row r="777" spans="12:12" x14ac:dyDescent="0.25">
      <c r="L777" s="18"/>
    </row>
    <row r="778" spans="12:12" x14ac:dyDescent="0.25">
      <c r="L778" s="18"/>
    </row>
    <row r="779" spans="12:12" x14ac:dyDescent="0.25">
      <c r="L779" s="18"/>
    </row>
    <row r="780" spans="12:12" x14ac:dyDescent="0.25">
      <c r="L780" s="18"/>
    </row>
    <row r="781" spans="12:12" x14ac:dyDescent="0.25">
      <c r="L781" s="18"/>
    </row>
    <row r="782" spans="12:12" x14ac:dyDescent="0.25">
      <c r="L782" s="18"/>
    </row>
    <row r="783" spans="12:12" x14ac:dyDescent="0.25">
      <c r="L783" s="18"/>
    </row>
    <row r="784" spans="12:12" x14ac:dyDescent="0.25">
      <c r="L784" s="18"/>
    </row>
    <row r="785" spans="12:12" x14ac:dyDescent="0.25">
      <c r="L785" s="18"/>
    </row>
    <row r="786" spans="12:12" x14ac:dyDescent="0.25">
      <c r="L786" s="18"/>
    </row>
    <row r="787" spans="12:12" x14ac:dyDescent="0.25">
      <c r="L787" s="18"/>
    </row>
    <row r="788" spans="12:12" x14ac:dyDescent="0.25">
      <c r="L788" s="18"/>
    </row>
    <row r="789" spans="12:12" x14ac:dyDescent="0.25">
      <c r="L789" s="18"/>
    </row>
    <row r="790" spans="12:12" x14ac:dyDescent="0.25">
      <c r="L790" s="18"/>
    </row>
    <row r="791" spans="12:12" x14ac:dyDescent="0.25">
      <c r="L791" s="18"/>
    </row>
    <row r="792" spans="12:12" x14ac:dyDescent="0.25">
      <c r="L792" s="18"/>
    </row>
    <row r="793" spans="12:12" x14ac:dyDescent="0.25">
      <c r="L793" s="18"/>
    </row>
    <row r="794" spans="12:12" x14ac:dyDescent="0.25">
      <c r="L794" s="18"/>
    </row>
    <row r="795" spans="12:12" x14ac:dyDescent="0.25">
      <c r="L795" s="18"/>
    </row>
    <row r="796" spans="12:12" x14ac:dyDescent="0.25">
      <c r="L796" s="18"/>
    </row>
    <row r="797" spans="12:12" x14ac:dyDescent="0.25">
      <c r="L797" s="18"/>
    </row>
    <row r="798" spans="12:12" x14ac:dyDescent="0.25">
      <c r="L798" s="18"/>
    </row>
    <row r="799" spans="12:12" x14ac:dyDescent="0.25">
      <c r="L799" s="18"/>
    </row>
    <row r="800" spans="12:12" x14ac:dyDescent="0.25">
      <c r="L800" s="18"/>
    </row>
    <row r="801" spans="12:12" x14ac:dyDescent="0.25">
      <c r="L801" s="18"/>
    </row>
    <row r="802" spans="12:12" x14ac:dyDescent="0.25">
      <c r="L802" s="18"/>
    </row>
    <row r="803" spans="12:12" x14ac:dyDescent="0.25">
      <c r="L803" s="18"/>
    </row>
    <row r="804" spans="12:12" x14ac:dyDescent="0.25">
      <c r="L804" s="18"/>
    </row>
    <row r="805" spans="12:12" x14ac:dyDescent="0.25">
      <c r="L805" s="18"/>
    </row>
    <row r="806" spans="12:12" x14ac:dyDescent="0.25">
      <c r="L806" s="18"/>
    </row>
    <row r="807" spans="12:12" x14ac:dyDescent="0.25">
      <c r="L807" s="18"/>
    </row>
    <row r="808" spans="12:12" x14ac:dyDescent="0.25">
      <c r="L808" s="18"/>
    </row>
    <row r="809" spans="12:12" x14ac:dyDescent="0.25">
      <c r="L809" s="18"/>
    </row>
    <row r="810" spans="12:12" x14ac:dyDescent="0.25">
      <c r="L810" s="18"/>
    </row>
    <row r="811" spans="12:12" x14ac:dyDescent="0.25">
      <c r="L811" s="18"/>
    </row>
    <row r="812" spans="12:12" x14ac:dyDescent="0.25">
      <c r="L812" s="18"/>
    </row>
    <row r="813" spans="12:12" x14ac:dyDescent="0.25">
      <c r="L813" s="18"/>
    </row>
    <row r="814" spans="12:12" x14ac:dyDescent="0.25">
      <c r="L814" s="18"/>
    </row>
    <row r="815" spans="12:12" x14ac:dyDescent="0.25">
      <c r="L815" s="18"/>
    </row>
    <row r="816" spans="12:12" x14ac:dyDescent="0.25">
      <c r="L816" s="18"/>
    </row>
    <row r="817" spans="12:12" x14ac:dyDescent="0.25">
      <c r="L817" s="18"/>
    </row>
    <row r="818" spans="12:12" x14ac:dyDescent="0.25">
      <c r="L818" s="18"/>
    </row>
    <row r="819" spans="12:12" x14ac:dyDescent="0.25">
      <c r="L819" s="18"/>
    </row>
    <row r="820" spans="12:12" x14ac:dyDescent="0.25">
      <c r="L820" s="18"/>
    </row>
    <row r="821" spans="12:12" x14ac:dyDescent="0.25">
      <c r="L821" s="18"/>
    </row>
    <row r="822" spans="12:12" x14ac:dyDescent="0.25">
      <c r="L822" s="18"/>
    </row>
    <row r="823" spans="12:12" x14ac:dyDescent="0.25">
      <c r="L823" s="18"/>
    </row>
    <row r="824" spans="12:12" x14ac:dyDescent="0.25">
      <c r="L824" s="18"/>
    </row>
    <row r="825" spans="12:12" x14ac:dyDescent="0.25">
      <c r="L825" s="18"/>
    </row>
    <row r="826" spans="12:12" x14ac:dyDescent="0.25">
      <c r="L826" s="18"/>
    </row>
    <row r="827" spans="12:12" x14ac:dyDescent="0.25">
      <c r="L827" s="18"/>
    </row>
    <row r="828" spans="12:12" x14ac:dyDescent="0.25">
      <c r="L828" s="18"/>
    </row>
    <row r="829" spans="12:12" x14ac:dyDescent="0.25">
      <c r="L829" s="18"/>
    </row>
    <row r="830" spans="12:12" x14ac:dyDescent="0.25">
      <c r="L830" s="18"/>
    </row>
    <row r="831" spans="12:12" x14ac:dyDescent="0.25">
      <c r="L831" s="18"/>
    </row>
    <row r="832" spans="12:12" x14ac:dyDescent="0.25">
      <c r="L832" s="18"/>
    </row>
    <row r="833" spans="12:12" x14ac:dyDescent="0.25">
      <c r="L833" s="18"/>
    </row>
    <row r="834" spans="12:12" x14ac:dyDescent="0.25">
      <c r="L834" s="18"/>
    </row>
    <row r="835" spans="12:12" x14ac:dyDescent="0.25">
      <c r="L835" s="18"/>
    </row>
    <row r="836" spans="12:12" x14ac:dyDescent="0.25">
      <c r="L836" s="18"/>
    </row>
    <row r="837" spans="12:12" x14ac:dyDescent="0.25">
      <c r="L837" s="18"/>
    </row>
    <row r="838" spans="12:12" x14ac:dyDescent="0.25">
      <c r="L838" s="18"/>
    </row>
    <row r="839" spans="12:12" x14ac:dyDescent="0.25">
      <c r="L839" s="18"/>
    </row>
    <row r="840" spans="12:12" x14ac:dyDescent="0.25">
      <c r="L840" s="18"/>
    </row>
    <row r="841" spans="12:12" x14ac:dyDescent="0.25">
      <c r="L841" s="18"/>
    </row>
    <row r="842" spans="12:12" x14ac:dyDescent="0.25">
      <c r="L842" s="18"/>
    </row>
    <row r="843" spans="12:12" x14ac:dyDescent="0.25">
      <c r="L843" s="18"/>
    </row>
    <row r="844" spans="12:12" x14ac:dyDescent="0.25">
      <c r="L844" s="18"/>
    </row>
    <row r="845" spans="12:12" x14ac:dyDescent="0.25">
      <c r="L845" s="18"/>
    </row>
    <row r="846" spans="12:12" x14ac:dyDescent="0.25">
      <c r="L846" s="18"/>
    </row>
    <row r="847" spans="12:12" x14ac:dyDescent="0.25">
      <c r="L847" s="18"/>
    </row>
    <row r="848" spans="12:12" x14ac:dyDescent="0.25">
      <c r="L848" s="18"/>
    </row>
    <row r="849" spans="12:12" x14ac:dyDescent="0.25">
      <c r="L849" s="18"/>
    </row>
    <row r="850" spans="12:12" x14ac:dyDescent="0.25">
      <c r="L850" s="18"/>
    </row>
    <row r="851" spans="12:12" x14ac:dyDescent="0.25">
      <c r="L851" s="18"/>
    </row>
    <row r="852" spans="12:12" x14ac:dyDescent="0.25">
      <c r="L852" s="18"/>
    </row>
    <row r="853" spans="12:12" x14ac:dyDescent="0.25">
      <c r="L853" s="18"/>
    </row>
    <row r="854" spans="12:12" x14ac:dyDescent="0.25">
      <c r="L854" s="18"/>
    </row>
    <row r="855" spans="12:12" x14ac:dyDescent="0.25">
      <c r="L855" s="18"/>
    </row>
    <row r="856" spans="12:12" x14ac:dyDescent="0.25">
      <c r="L856" s="18"/>
    </row>
    <row r="857" spans="12:12" x14ac:dyDescent="0.25">
      <c r="L857" s="18"/>
    </row>
    <row r="858" spans="12:12" x14ac:dyDescent="0.25">
      <c r="L858" s="18"/>
    </row>
    <row r="859" spans="12:12" x14ac:dyDescent="0.25">
      <c r="L859" s="18"/>
    </row>
    <row r="860" spans="12:12" x14ac:dyDescent="0.25">
      <c r="L860" s="18"/>
    </row>
    <row r="861" spans="12:12" x14ac:dyDescent="0.25">
      <c r="L861" s="18"/>
    </row>
    <row r="862" spans="12:12" x14ac:dyDescent="0.25">
      <c r="L862" s="18"/>
    </row>
    <row r="863" spans="12:12" x14ac:dyDescent="0.25">
      <c r="L863" s="18"/>
    </row>
    <row r="864" spans="12:12" x14ac:dyDescent="0.25">
      <c r="L864" s="18"/>
    </row>
    <row r="865" spans="12:12" x14ac:dyDescent="0.25">
      <c r="L865" s="18"/>
    </row>
    <row r="866" spans="12:12" x14ac:dyDescent="0.25">
      <c r="L866" s="18"/>
    </row>
    <row r="867" spans="12:12" x14ac:dyDescent="0.25">
      <c r="L867" s="18"/>
    </row>
    <row r="868" spans="12:12" x14ac:dyDescent="0.25">
      <c r="L868" s="18"/>
    </row>
    <row r="869" spans="12:12" x14ac:dyDescent="0.25">
      <c r="L869" s="18"/>
    </row>
    <row r="870" spans="12:12" x14ac:dyDescent="0.25">
      <c r="L870" s="18"/>
    </row>
    <row r="871" spans="12:12" x14ac:dyDescent="0.25">
      <c r="L871" s="18"/>
    </row>
    <row r="872" spans="12:12" x14ac:dyDescent="0.25">
      <c r="L872" s="18"/>
    </row>
    <row r="873" spans="12:12" x14ac:dyDescent="0.25">
      <c r="L873" s="18"/>
    </row>
    <row r="874" spans="12:12" x14ac:dyDescent="0.25">
      <c r="L874" s="18"/>
    </row>
    <row r="875" spans="12:12" x14ac:dyDescent="0.25">
      <c r="L875" s="18"/>
    </row>
    <row r="876" spans="12:12" x14ac:dyDescent="0.25">
      <c r="L876" s="18"/>
    </row>
    <row r="877" spans="12:12" x14ac:dyDescent="0.25">
      <c r="L877" s="18"/>
    </row>
    <row r="878" spans="12:12" x14ac:dyDescent="0.25">
      <c r="L878" s="18"/>
    </row>
    <row r="879" spans="12:12" x14ac:dyDescent="0.25">
      <c r="L879" s="18"/>
    </row>
    <row r="880" spans="12:12" x14ac:dyDescent="0.25">
      <c r="L880" s="18"/>
    </row>
    <row r="881" spans="12:12" x14ac:dyDescent="0.25">
      <c r="L881" s="18"/>
    </row>
    <row r="882" spans="12:12" x14ac:dyDescent="0.25">
      <c r="L882" s="18"/>
    </row>
    <row r="883" spans="12:12" x14ac:dyDescent="0.25">
      <c r="L883" s="18"/>
    </row>
    <row r="884" spans="12:12" x14ac:dyDescent="0.25">
      <c r="L884" s="18"/>
    </row>
    <row r="885" spans="12:12" x14ac:dyDescent="0.25">
      <c r="L885" s="18"/>
    </row>
    <row r="886" spans="12:12" x14ac:dyDescent="0.25">
      <c r="L886" s="18"/>
    </row>
    <row r="887" spans="12:12" x14ac:dyDescent="0.25">
      <c r="L887" s="18"/>
    </row>
    <row r="888" spans="12:12" x14ac:dyDescent="0.25">
      <c r="L888" s="18"/>
    </row>
    <row r="889" spans="12:12" x14ac:dyDescent="0.25">
      <c r="L889" s="18"/>
    </row>
    <row r="890" spans="12:12" x14ac:dyDescent="0.25">
      <c r="L890" s="18"/>
    </row>
    <row r="891" spans="12:12" x14ac:dyDescent="0.25">
      <c r="L891" s="18"/>
    </row>
    <row r="892" spans="12:12" x14ac:dyDescent="0.25">
      <c r="L892" s="18"/>
    </row>
    <row r="893" spans="12:12" x14ac:dyDescent="0.25">
      <c r="L893" s="18"/>
    </row>
    <row r="894" spans="12:12" x14ac:dyDescent="0.25">
      <c r="L894" s="18"/>
    </row>
    <row r="895" spans="12:12" x14ac:dyDescent="0.25">
      <c r="L895" s="18"/>
    </row>
    <row r="896" spans="12:12" x14ac:dyDescent="0.25">
      <c r="L896" s="18"/>
    </row>
    <row r="897" spans="12:12" x14ac:dyDescent="0.25">
      <c r="L897" s="18"/>
    </row>
    <row r="898" spans="12:12" x14ac:dyDescent="0.25">
      <c r="L898" s="18"/>
    </row>
    <row r="899" spans="12:12" x14ac:dyDescent="0.25">
      <c r="L899" s="18"/>
    </row>
    <row r="900" spans="12:12" x14ac:dyDescent="0.25">
      <c r="L900" s="18"/>
    </row>
    <row r="901" spans="12:12" x14ac:dyDescent="0.25">
      <c r="L901" s="18"/>
    </row>
    <row r="902" spans="12:12" x14ac:dyDescent="0.25">
      <c r="L902" s="18"/>
    </row>
    <row r="903" spans="12:12" x14ac:dyDescent="0.25">
      <c r="L903" s="18"/>
    </row>
    <row r="904" spans="12:12" x14ac:dyDescent="0.25">
      <c r="L904" s="18"/>
    </row>
    <row r="905" spans="12:12" x14ac:dyDescent="0.25">
      <c r="L905" s="18"/>
    </row>
    <row r="906" spans="12:12" x14ac:dyDescent="0.25">
      <c r="L906" s="18"/>
    </row>
    <row r="907" spans="12:12" x14ac:dyDescent="0.25">
      <c r="L907" s="18"/>
    </row>
    <row r="908" spans="12:12" x14ac:dyDescent="0.25">
      <c r="L908" s="18"/>
    </row>
    <row r="909" spans="12:12" x14ac:dyDescent="0.25">
      <c r="L909" s="18"/>
    </row>
    <row r="910" spans="12:12" x14ac:dyDescent="0.25">
      <c r="L910" s="18"/>
    </row>
    <row r="911" spans="12:12" x14ac:dyDescent="0.25">
      <c r="L911" s="18"/>
    </row>
    <row r="912" spans="12:12" x14ac:dyDescent="0.25">
      <c r="L912" s="18"/>
    </row>
    <row r="913" spans="12:12" x14ac:dyDescent="0.25">
      <c r="L913" s="18"/>
    </row>
    <row r="914" spans="12:12" x14ac:dyDescent="0.25">
      <c r="L914" s="18"/>
    </row>
    <row r="915" spans="12:12" x14ac:dyDescent="0.25">
      <c r="L915" s="18"/>
    </row>
    <row r="916" spans="12:12" x14ac:dyDescent="0.25">
      <c r="L916" s="18"/>
    </row>
    <row r="917" spans="12:12" x14ac:dyDescent="0.25">
      <c r="L917" s="18"/>
    </row>
    <row r="918" spans="12:12" x14ac:dyDescent="0.25">
      <c r="L918" s="18"/>
    </row>
    <row r="919" spans="12:12" x14ac:dyDescent="0.25">
      <c r="L919" s="18"/>
    </row>
    <row r="920" spans="12:12" x14ac:dyDescent="0.25">
      <c r="L920" s="18"/>
    </row>
    <row r="921" spans="12:12" x14ac:dyDescent="0.25">
      <c r="L921" s="18"/>
    </row>
    <row r="922" spans="12:12" x14ac:dyDescent="0.25">
      <c r="L922" s="18"/>
    </row>
    <row r="923" spans="12:12" x14ac:dyDescent="0.25">
      <c r="L923" s="18"/>
    </row>
    <row r="924" spans="12:12" x14ac:dyDescent="0.25">
      <c r="L924" s="18"/>
    </row>
    <row r="925" spans="12:12" x14ac:dyDescent="0.25">
      <c r="L925" s="18"/>
    </row>
    <row r="926" spans="12:12" x14ac:dyDescent="0.25">
      <c r="L926" s="18"/>
    </row>
    <row r="927" spans="12:12" x14ac:dyDescent="0.25">
      <c r="L927" s="18"/>
    </row>
    <row r="928" spans="12:12" x14ac:dyDescent="0.25">
      <c r="L928" s="18"/>
    </row>
    <row r="929" spans="12:12" x14ac:dyDescent="0.25">
      <c r="L929" s="18"/>
    </row>
    <row r="930" spans="12:12" x14ac:dyDescent="0.25">
      <c r="L930" s="18"/>
    </row>
    <row r="931" spans="12:12" x14ac:dyDescent="0.25">
      <c r="L931" s="18"/>
    </row>
    <row r="932" spans="12:12" x14ac:dyDescent="0.25">
      <c r="L932" s="18"/>
    </row>
    <row r="933" spans="12:12" x14ac:dyDescent="0.25">
      <c r="L933" s="18"/>
    </row>
    <row r="934" spans="12:12" x14ac:dyDescent="0.25">
      <c r="L934" s="18"/>
    </row>
    <row r="935" spans="12:12" x14ac:dyDescent="0.25">
      <c r="L935" s="18"/>
    </row>
    <row r="936" spans="12:12" x14ac:dyDescent="0.25">
      <c r="L936" s="18"/>
    </row>
    <row r="937" spans="12:12" x14ac:dyDescent="0.25">
      <c r="L937" s="18"/>
    </row>
    <row r="938" spans="12:12" x14ac:dyDescent="0.25">
      <c r="L938" s="18"/>
    </row>
    <row r="939" spans="12:12" x14ac:dyDescent="0.25">
      <c r="L939" s="18"/>
    </row>
    <row r="940" spans="12:12" x14ac:dyDescent="0.25">
      <c r="L940" s="18"/>
    </row>
    <row r="941" spans="12:12" x14ac:dyDescent="0.25">
      <c r="L941" s="18"/>
    </row>
    <row r="942" spans="12:12" x14ac:dyDescent="0.25">
      <c r="L942" s="18"/>
    </row>
    <row r="943" spans="12:12" x14ac:dyDescent="0.25">
      <c r="L943" s="18"/>
    </row>
    <row r="944" spans="12:12" x14ac:dyDescent="0.25">
      <c r="L944" s="18"/>
    </row>
    <row r="945" spans="12:12" x14ac:dyDescent="0.25">
      <c r="L945" s="18"/>
    </row>
    <row r="946" spans="12:12" x14ac:dyDescent="0.25">
      <c r="L946" s="18"/>
    </row>
    <row r="947" spans="12:12" x14ac:dyDescent="0.25">
      <c r="L947" s="18"/>
    </row>
    <row r="948" spans="12:12" x14ac:dyDescent="0.25">
      <c r="L948" s="18"/>
    </row>
    <row r="949" spans="12:12" x14ac:dyDescent="0.25">
      <c r="L949" s="18"/>
    </row>
    <row r="950" spans="12:12" x14ac:dyDescent="0.25">
      <c r="L950" s="18"/>
    </row>
    <row r="951" spans="12:12" x14ac:dyDescent="0.25">
      <c r="L951" s="18"/>
    </row>
    <row r="952" spans="12:12" x14ac:dyDescent="0.25">
      <c r="L952" s="18"/>
    </row>
    <row r="953" spans="12:12" x14ac:dyDescent="0.25">
      <c r="L953" s="18"/>
    </row>
    <row r="954" spans="12:12" x14ac:dyDescent="0.25">
      <c r="L954" s="18"/>
    </row>
    <row r="955" spans="12:12" x14ac:dyDescent="0.25">
      <c r="L955" s="18"/>
    </row>
    <row r="956" spans="12:12" x14ac:dyDescent="0.25">
      <c r="L956" s="18"/>
    </row>
    <row r="957" spans="12:12" x14ac:dyDescent="0.25">
      <c r="L957" s="18"/>
    </row>
    <row r="958" spans="12:12" x14ac:dyDescent="0.25">
      <c r="L958" s="18"/>
    </row>
    <row r="959" spans="12:12" x14ac:dyDescent="0.25">
      <c r="L959" s="18"/>
    </row>
    <row r="960" spans="12:12" x14ac:dyDescent="0.25">
      <c r="L960" s="18"/>
    </row>
    <row r="961" spans="12:12" x14ac:dyDescent="0.25">
      <c r="L961" s="18"/>
    </row>
    <row r="962" spans="12:12" x14ac:dyDescent="0.25">
      <c r="L962" s="18"/>
    </row>
    <row r="963" spans="12:12" x14ac:dyDescent="0.25">
      <c r="L963" s="18"/>
    </row>
    <row r="964" spans="12:12" x14ac:dyDescent="0.25">
      <c r="L964" s="18"/>
    </row>
    <row r="965" spans="12:12" x14ac:dyDescent="0.25">
      <c r="L965" s="18"/>
    </row>
    <row r="966" spans="12:12" x14ac:dyDescent="0.25">
      <c r="L966" s="18"/>
    </row>
    <row r="967" spans="12:12" x14ac:dyDescent="0.25">
      <c r="L967" s="18"/>
    </row>
    <row r="968" spans="12:12" x14ac:dyDescent="0.25">
      <c r="L968" s="18"/>
    </row>
    <row r="969" spans="12:12" x14ac:dyDescent="0.25">
      <c r="L969" s="18"/>
    </row>
    <row r="970" spans="12:12" x14ac:dyDescent="0.25">
      <c r="L970" s="18"/>
    </row>
    <row r="971" spans="12:12" x14ac:dyDescent="0.25">
      <c r="L971" s="18"/>
    </row>
    <row r="972" spans="12:12" x14ac:dyDescent="0.25">
      <c r="L972" s="18"/>
    </row>
    <row r="973" spans="12:12" x14ac:dyDescent="0.25">
      <c r="L973" s="18"/>
    </row>
    <row r="974" spans="12:12" x14ac:dyDescent="0.25">
      <c r="L974" s="18"/>
    </row>
    <row r="975" spans="12:12" x14ac:dyDescent="0.25">
      <c r="L975" s="18"/>
    </row>
    <row r="976" spans="12:12" x14ac:dyDescent="0.25">
      <c r="L976" s="18"/>
    </row>
    <row r="977" spans="12:12" x14ac:dyDescent="0.25">
      <c r="L977" s="18"/>
    </row>
    <row r="978" spans="12:12" x14ac:dyDescent="0.25">
      <c r="L978" s="18"/>
    </row>
    <row r="979" spans="12:12" x14ac:dyDescent="0.25">
      <c r="L979" s="18"/>
    </row>
    <row r="980" spans="12:12" x14ac:dyDescent="0.25">
      <c r="L980" s="18"/>
    </row>
    <row r="981" spans="12:12" x14ac:dyDescent="0.25">
      <c r="L981" s="18"/>
    </row>
    <row r="982" spans="12:12" x14ac:dyDescent="0.25">
      <c r="L982" s="18"/>
    </row>
    <row r="983" spans="12:12" x14ac:dyDescent="0.25">
      <c r="L983" s="18"/>
    </row>
    <row r="984" spans="12:12" x14ac:dyDescent="0.25">
      <c r="L984" s="18"/>
    </row>
    <row r="985" spans="12:12" x14ac:dyDescent="0.25">
      <c r="L985" s="18"/>
    </row>
    <row r="986" spans="12:12" x14ac:dyDescent="0.25">
      <c r="L986" s="18"/>
    </row>
    <row r="987" spans="12:12" x14ac:dyDescent="0.25">
      <c r="L987" s="18"/>
    </row>
    <row r="988" spans="12:12" x14ac:dyDescent="0.25">
      <c r="L988" s="18"/>
    </row>
    <row r="989" spans="12:12" x14ac:dyDescent="0.25">
      <c r="L989" s="18"/>
    </row>
    <row r="990" spans="12:12" x14ac:dyDescent="0.25">
      <c r="L990" s="18"/>
    </row>
    <row r="991" spans="12:12" x14ac:dyDescent="0.25">
      <c r="L991" s="18"/>
    </row>
    <row r="992" spans="12:12" x14ac:dyDescent="0.25">
      <c r="L992" s="18"/>
    </row>
    <row r="993" spans="12:12" x14ac:dyDescent="0.25">
      <c r="L993" s="18"/>
    </row>
    <row r="994" spans="12:12" x14ac:dyDescent="0.25">
      <c r="L994" s="18"/>
    </row>
    <row r="995" spans="12:12" x14ac:dyDescent="0.25">
      <c r="L995" s="18"/>
    </row>
    <row r="996" spans="12:12" x14ac:dyDescent="0.25">
      <c r="L996" s="18"/>
    </row>
    <row r="997" spans="12:12" x14ac:dyDescent="0.25">
      <c r="L997" s="18"/>
    </row>
    <row r="998" spans="12:12" x14ac:dyDescent="0.25">
      <c r="L998" s="18"/>
    </row>
    <row r="999" spans="12:12" x14ac:dyDescent="0.25">
      <c r="L999" s="18"/>
    </row>
    <row r="1000" spans="12:12" x14ac:dyDescent="0.25">
      <c r="L1000" s="18"/>
    </row>
  </sheetData>
  <sheetProtection formatCells="0" formatRows="0" insertRows="0" insertHyperlinks="0" deleteRows="0" sort="0" autoFilter="0" pivotTables="0"/>
  <autoFilter ref="A1:P1"/>
  <dataValidations count="4">
    <dataValidation type="decimal" allowBlank="1" showInputMessage="1" showErrorMessage="1" sqref="C2:C1000">
      <formula1>0</formula1>
      <formula2>1000000</formula2>
    </dataValidation>
    <dataValidation type="list" allowBlank="1" showInputMessage="1" showErrorMessage="1" sqref="E2:E1000">
      <formula1>condition</formula1>
    </dataValidation>
    <dataValidation type="decimal" operator="greaterThan" allowBlank="1" showInputMessage="1" showErrorMessage="1" sqref="G2:K1000">
      <formula1>0</formula1>
    </dataValidation>
    <dataValidation type="decimal" allowBlank="1" showInputMessage="1" showErrorMessage="1" sqref="D1:D1048576">
      <formula1>0</formula1>
      <formula2>100000000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'Master Data'!$L$26:$L$27</xm:f>
          </x14:formula1>
          <xm:sqref>O2:O1000 L2:L1000</xm:sqref>
        </x14:dataValidation>
        <x14:dataValidation type="list" allowBlank="1" showInputMessage="1" showErrorMessage="1">
          <x14:formula1>
            <xm:f>'Master Data'!$H$32:$H$33</xm:f>
          </x14:formula1>
          <xm:sqref>F2:F1000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77"/>
  <sheetViews>
    <sheetView zoomScaleNormal="100" workbookViewId="0">
      <selection activeCell="L10" sqref="L10"/>
    </sheetView>
  </sheetViews>
  <sheetFormatPr defaultColWidth="9.109375" defaultRowHeight="15" x14ac:dyDescent="0.25"/>
  <cols>
    <col min="1" max="1" width="6.109375" style="18" customWidth="1"/>
    <col min="2" max="2" width="31.44140625" style="18" customWidth="1"/>
    <col min="3" max="3" width="17.33203125" style="22" customWidth="1"/>
    <col min="4" max="4" width="15.33203125" style="22" customWidth="1"/>
    <col min="5" max="5" width="23.6640625" style="18" customWidth="1"/>
    <col min="6" max="6" width="21" style="18" customWidth="1"/>
    <col min="7" max="7" width="15.6640625" style="18" customWidth="1"/>
    <col min="8" max="8" width="19.44140625" style="18" customWidth="1"/>
    <col min="9" max="9" width="19" style="22" customWidth="1"/>
    <col min="10" max="10" width="22.88671875" style="22" customWidth="1"/>
    <col min="11" max="11" width="13.88671875" style="18" customWidth="1"/>
    <col min="12" max="12" width="37.5546875" style="18" customWidth="1"/>
    <col min="13" max="16384" width="9.109375" style="18"/>
  </cols>
  <sheetData>
    <row r="1" spans="1:40" s="20" customFormat="1" ht="46.5" customHeight="1" x14ac:dyDescent="0.3">
      <c r="A1" s="32" t="s">
        <v>1</v>
      </c>
      <c r="B1" s="32" t="s">
        <v>526</v>
      </c>
      <c r="C1" s="32" t="s">
        <v>571</v>
      </c>
      <c r="D1" s="32" t="s">
        <v>572</v>
      </c>
      <c r="E1" s="32" t="s">
        <v>8</v>
      </c>
      <c r="F1" s="32" t="s">
        <v>7</v>
      </c>
      <c r="G1" s="32" t="s">
        <v>564</v>
      </c>
      <c r="H1" s="32" t="s">
        <v>569</v>
      </c>
      <c r="I1" s="32" t="s">
        <v>573</v>
      </c>
      <c r="J1" s="32" t="s">
        <v>711</v>
      </c>
      <c r="K1" s="32" t="s">
        <v>516</v>
      </c>
      <c r="L1" s="32" t="s">
        <v>563</v>
      </c>
      <c r="M1" s="33"/>
      <c r="AN1" s="113" t="s">
        <v>675</v>
      </c>
    </row>
    <row r="2" spans="1:40" x14ac:dyDescent="0.25">
      <c r="A2" s="18">
        <v>1</v>
      </c>
      <c r="B2" s="18" t="s">
        <v>684</v>
      </c>
      <c r="C2" s="22">
        <v>800</v>
      </c>
      <c r="D2" s="22">
        <v>1200</v>
      </c>
      <c r="E2" s="18" t="s">
        <v>575</v>
      </c>
      <c r="F2" s="18" t="s">
        <v>3</v>
      </c>
      <c r="G2" s="18" t="b">
        <v>0</v>
      </c>
      <c r="H2" s="18" t="s">
        <v>685</v>
      </c>
      <c r="I2" s="22">
        <v>2400</v>
      </c>
      <c r="J2" s="22">
        <v>1600</v>
      </c>
      <c r="K2" s="18" t="b">
        <v>0</v>
      </c>
      <c r="N2" s="48"/>
    </row>
    <row r="3" spans="1:40" x14ac:dyDescent="0.25">
      <c r="A3" s="18">
        <v>2</v>
      </c>
      <c r="B3" s="18" t="s">
        <v>684</v>
      </c>
      <c r="C3" s="22">
        <v>800</v>
      </c>
      <c r="D3" s="22">
        <v>1200</v>
      </c>
      <c r="E3" s="18" t="s">
        <v>575</v>
      </c>
      <c r="F3" s="18" t="s">
        <v>3</v>
      </c>
      <c r="G3" s="18" t="b">
        <v>0</v>
      </c>
      <c r="H3" s="18" t="s">
        <v>685</v>
      </c>
      <c r="I3" s="22">
        <v>2400</v>
      </c>
      <c r="J3" s="22">
        <v>600</v>
      </c>
      <c r="K3" s="18" t="b">
        <v>0</v>
      </c>
    </row>
    <row r="4" spans="1:40" x14ac:dyDescent="0.25">
      <c r="A4" s="18">
        <v>3</v>
      </c>
      <c r="B4" s="18" t="s">
        <v>686</v>
      </c>
      <c r="C4" s="22">
        <v>140</v>
      </c>
      <c r="D4" s="22">
        <v>255</v>
      </c>
      <c r="E4" s="18" t="s">
        <v>644</v>
      </c>
      <c r="F4" s="18" t="s">
        <v>5</v>
      </c>
      <c r="G4" s="18" t="b">
        <v>0</v>
      </c>
      <c r="H4" s="18" t="s">
        <v>687</v>
      </c>
      <c r="I4" s="22">
        <v>510</v>
      </c>
      <c r="J4" s="22">
        <v>22.5</v>
      </c>
      <c r="K4" s="18" t="b">
        <v>1</v>
      </c>
    </row>
    <row r="5" spans="1:40" x14ac:dyDescent="0.25">
      <c r="A5" s="18">
        <v>4</v>
      </c>
      <c r="B5" s="18" t="s">
        <v>686</v>
      </c>
      <c r="C5" s="22">
        <v>30</v>
      </c>
      <c r="D5" s="22">
        <v>40</v>
      </c>
      <c r="E5" s="18" t="s">
        <v>688</v>
      </c>
      <c r="F5" s="18" t="s">
        <v>3</v>
      </c>
      <c r="G5" s="18" t="b">
        <v>0</v>
      </c>
      <c r="H5" s="18" t="s">
        <v>689</v>
      </c>
      <c r="K5" s="18" t="b">
        <v>1</v>
      </c>
    </row>
    <row r="6" spans="1:40" x14ac:dyDescent="0.25">
      <c r="A6" s="18">
        <v>5</v>
      </c>
      <c r="B6" s="18" t="s">
        <v>686</v>
      </c>
      <c r="C6" s="22">
        <v>30</v>
      </c>
      <c r="D6" s="22">
        <v>40</v>
      </c>
      <c r="E6" s="18" t="s">
        <v>575</v>
      </c>
      <c r="F6" s="18" t="s">
        <v>3</v>
      </c>
      <c r="G6" s="18" t="b">
        <v>0</v>
      </c>
      <c r="H6" s="18" t="s">
        <v>690</v>
      </c>
      <c r="K6" s="18" t="b">
        <v>1</v>
      </c>
    </row>
    <row r="7" spans="1:40" x14ac:dyDescent="0.25">
      <c r="A7" s="18">
        <v>6</v>
      </c>
      <c r="B7" s="18" t="s">
        <v>686</v>
      </c>
      <c r="C7" s="22">
        <v>40</v>
      </c>
      <c r="D7" s="22">
        <v>140</v>
      </c>
      <c r="E7" s="18" t="s">
        <v>635</v>
      </c>
      <c r="F7" s="18" t="s">
        <v>5</v>
      </c>
      <c r="G7" s="18" t="b">
        <v>0</v>
      </c>
      <c r="H7" s="18" t="s">
        <v>687</v>
      </c>
      <c r="I7" s="22">
        <v>222.22</v>
      </c>
      <c r="J7" s="22">
        <v>63.49</v>
      </c>
      <c r="K7" s="18" t="b">
        <v>1</v>
      </c>
    </row>
    <row r="8" spans="1:40" x14ac:dyDescent="0.25">
      <c r="A8" s="18">
        <v>7</v>
      </c>
      <c r="B8" s="18" t="s">
        <v>686</v>
      </c>
      <c r="C8" s="22">
        <v>40</v>
      </c>
      <c r="D8" s="22">
        <v>140</v>
      </c>
      <c r="E8" s="18" t="s">
        <v>644</v>
      </c>
      <c r="F8" s="18" t="s">
        <v>5</v>
      </c>
      <c r="G8" s="18" t="b">
        <v>0</v>
      </c>
      <c r="H8" s="18" t="s">
        <v>687</v>
      </c>
      <c r="I8" s="22">
        <v>222.22</v>
      </c>
      <c r="J8" s="22">
        <v>63.95</v>
      </c>
      <c r="K8" s="18" t="b">
        <v>1</v>
      </c>
    </row>
    <row r="9" spans="1:40" x14ac:dyDescent="0.25">
      <c r="A9" s="18">
        <v>8</v>
      </c>
      <c r="B9" s="18" t="s">
        <v>686</v>
      </c>
      <c r="C9" s="22">
        <v>40</v>
      </c>
      <c r="D9" s="22">
        <v>140</v>
      </c>
      <c r="E9" s="18" t="s">
        <v>646</v>
      </c>
      <c r="F9" s="18" t="s">
        <v>5</v>
      </c>
      <c r="G9" s="18" t="b">
        <v>0</v>
      </c>
      <c r="H9" s="18" t="s">
        <v>687</v>
      </c>
      <c r="I9" s="22">
        <v>222.22</v>
      </c>
      <c r="J9" s="22">
        <v>63.95</v>
      </c>
      <c r="K9" s="18" t="b">
        <v>1</v>
      </c>
    </row>
    <row r="10" spans="1:40" x14ac:dyDescent="0.25">
      <c r="A10" s="18">
        <v>9</v>
      </c>
      <c r="B10" s="18" t="s">
        <v>686</v>
      </c>
      <c r="C10" s="22">
        <v>140</v>
      </c>
      <c r="D10" s="22">
        <v>255</v>
      </c>
      <c r="E10" s="18" t="s">
        <v>575</v>
      </c>
      <c r="F10" s="18" t="s">
        <v>3</v>
      </c>
      <c r="G10" s="18" t="b">
        <v>0</v>
      </c>
      <c r="H10" s="18" t="s">
        <v>687</v>
      </c>
      <c r="I10" s="22">
        <v>510</v>
      </c>
      <c r="J10" s="22">
        <v>22.5</v>
      </c>
      <c r="K10" s="18" t="b">
        <v>1</v>
      </c>
    </row>
    <row r="11" spans="1:40" x14ac:dyDescent="0.25">
      <c r="A11" s="18">
        <v>10</v>
      </c>
      <c r="B11" s="18" t="s">
        <v>686</v>
      </c>
      <c r="C11" s="22">
        <v>140</v>
      </c>
      <c r="D11" s="22">
        <v>255</v>
      </c>
      <c r="E11" s="18" t="s">
        <v>645</v>
      </c>
      <c r="F11" s="18" t="s">
        <v>5</v>
      </c>
      <c r="G11" s="18" t="b">
        <v>0</v>
      </c>
      <c r="H11" s="18" t="s">
        <v>687</v>
      </c>
      <c r="I11" s="22">
        <v>510</v>
      </c>
      <c r="J11" s="22">
        <v>22.5</v>
      </c>
      <c r="K11" s="18" t="b">
        <v>1</v>
      </c>
    </row>
    <row r="12" spans="1:40" x14ac:dyDescent="0.25">
      <c r="A12" s="18">
        <v>11</v>
      </c>
      <c r="B12" s="18" t="s">
        <v>686</v>
      </c>
      <c r="C12" s="22">
        <v>140</v>
      </c>
      <c r="D12" s="22">
        <v>255</v>
      </c>
      <c r="E12" s="18" t="s">
        <v>635</v>
      </c>
      <c r="F12" s="18" t="s">
        <v>5</v>
      </c>
      <c r="G12" s="18" t="b">
        <v>0</v>
      </c>
      <c r="H12" s="18" t="s">
        <v>687</v>
      </c>
      <c r="I12" s="22">
        <v>510</v>
      </c>
      <c r="J12" s="22">
        <v>22.5</v>
      </c>
      <c r="K12" s="18" t="b">
        <v>1</v>
      </c>
    </row>
    <row r="13" spans="1:40" x14ac:dyDescent="0.25">
      <c r="A13" s="18">
        <v>12</v>
      </c>
      <c r="B13" s="18" t="s">
        <v>686</v>
      </c>
      <c r="C13" s="22">
        <v>140</v>
      </c>
      <c r="D13" s="22">
        <v>255</v>
      </c>
      <c r="E13" s="18" t="s">
        <v>575</v>
      </c>
      <c r="F13" s="18" t="s">
        <v>5</v>
      </c>
      <c r="G13" s="18" t="b">
        <v>0</v>
      </c>
      <c r="H13" s="18" t="s">
        <v>687</v>
      </c>
      <c r="I13" s="22">
        <v>510</v>
      </c>
      <c r="J13" s="22">
        <v>22.5</v>
      </c>
      <c r="K13" s="18" t="b">
        <v>1</v>
      </c>
    </row>
    <row r="14" spans="1:40" x14ac:dyDescent="0.25">
      <c r="A14" s="18">
        <v>13</v>
      </c>
      <c r="B14" s="18" t="s">
        <v>686</v>
      </c>
      <c r="C14" s="22">
        <v>40</v>
      </c>
      <c r="D14" s="22">
        <v>140</v>
      </c>
      <c r="E14" s="18" t="s">
        <v>575</v>
      </c>
      <c r="F14" s="18" t="s">
        <v>5</v>
      </c>
      <c r="G14" s="18" t="b">
        <v>0</v>
      </c>
      <c r="H14" s="18" t="s">
        <v>687</v>
      </c>
      <c r="I14" s="22">
        <v>222.22</v>
      </c>
      <c r="J14" s="22">
        <v>63.49</v>
      </c>
      <c r="K14" s="18" t="b">
        <v>1</v>
      </c>
    </row>
    <row r="15" spans="1:40" x14ac:dyDescent="0.25">
      <c r="A15" s="18">
        <v>14</v>
      </c>
      <c r="B15" s="18" t="s">
        <v>686</v>
      </c>
      <c r="C15" s="22">
        <v>140</v>
      </c>
      <c r="D15" s="22">
        <v>255</v>
      </c>
      <c r="E15" s="18" t="s">
        <v>646</v>
      </c>
      <c r="F15" s="18" t="s">
        <v>5</v>
      </c>
      <c r="G15" s="18" t="b">
        <v>0</v>
      </c>
      <c r="H15" s="18" t="s">
        <v>687</v>
      </c>
      <c r="I15" s="22">
        <v>510</v>
      </c>
      <c r="J15" s="22">
        <v>22.5</v>
      </c>
      <c r="K15" s="18" t="b">
        <v>1</v>
      </c>
    </row>
    <row r="16" spans="1:40" x14ac:dyDescent="0.25">
      <c r="A16" s="18">
        <v>15</v>
      </c>
      <c r="B16" s="18" t="s">
        <v>686</v>
      </c>
      <c r="C16" s="22">
        <v>40</v>
      </c>
      <c r="D16" s="22">
        <v>140</v>
      </c>
      <c r="E16" s="18" t="s">
        <v>645</v>
      </c>
      <c r="F16" s="18" t="s">
        <v>5</v>
      </c>
      <c r="G16" s="18" t="b">
        <v>0</v>
      </c>
      <c r="H16" s="18" t="s">
        <v>687</v>
      </c>
      <c r="I16" s="22">
        <v>222.22</v>
      </c>
      <c r="J16" s="22">
        <v>63.95</v>
      </c>
      <c r="K16" s="18" t="b">
        <v>1</v>
      </c>
    </row>
    <row r="17" spans="1:11" x14ac:dyDescent="0.25">
      <c r="A17" s="18">
        <v>16</v>
      </c>
      <c r="B17" s="18" t="s">
        <v>686</v>
      </c>
      <c r="C17" s="22">
        <v>40</v>
      </c>
      <c r="D17" s="22">
        <v>255</v>
      </c>
      <c r="E17" s="18" t="s">
        <v>575</v>
      </c>
      <c r="F17" s="18" t="s">
        <v>2</v>
      </c>
      <c r="G17" s="18" t="b">
        <v>0</v>
      </c>
      <c r="H17" s="18" t="s">
        <v>687</v>
      </c>
      <c r="I17" s="22">
        <v>222.22</v>
      </c>
      <c r="J17" s="22">
        <v>63.49</v>
      </c>
      <c r="K17" s="18" t="b">
        <v>1</v>
      </c>
    </row>
    <row r="18" spans="1:11" x14ac:dyDescent="0.25">
      <c r="A18" s="18">
        <v>17</v>
      </c>
      <c r="B18" s="18" t="s">
        <v>686</v>
      </c>
      <c r="C18" s="22">
        <v>40</v>
      </c>
      <c r="D18" s="22">
        <v>140</v>
      </c>
      <c r="E18" s="18" t="s">
        <v>575</v>
      </c>
      <c r="F18" s="18" t="s">
        <v>3</v>
      </c>
      <c r="G18" s="18" t="b">
        <v>0</v>
      </c>
      <c r="H18" s="18" t="s">
        <v>687</v>
      </c>
      <c r="I18" s="22">
        <v>222.22</v>
      </c>
      <c r="J18" s="22">
        <v>63.49</v>
      </c>
      <c r="K18" s="18" t="b">
        <v>1</v>
      </c>
    </row>
    <row r="19" spans="1:11" x14ac:dyDescent="0.25">
      <c r="A19" s="18">
        <v>18</v>
      </c>
      <c r="B19" s="18" t="s">
        <v>691</v>
      </c>
      <c r="C19" s="22">
        <v>10.151999999999999</v>
      </c>
      <c r="D19" s="22">
        <v>40</v>
      </c>
      <c r="E19" s="18" t="s">
        <v>575</v>
      </c>
      <c r="F19" s="18" t="s">
        <v>4</v>
      </c>
      <c r="G19" s="18" t="b">
        <v>0</v>
      </c>
      <c r="H19" s="18" t="s">
        <v>692</v>
      </c>
      <c r="K19" s="18" t="b">
        <v>1</v>
      </c>
    </row>
    <row r="20" spans="1:11" x14ac:dyDescent="0.25">
      <c r="A20" s="18">
        <v>19</v>
      </c>
      <c r="B20" s="18" t="s">
        <v>691</v>
      </c>
      <c r="C20" s="22">
        <v>10.151999999999999</v>
      </c>
      <c r="D20" s="22">
        <v>40</v>
      </c>
      <c r="E20" s="18" t="s">
        <v>575</v>
      </c>
      <c r="F20" s="18" t="s">
        <v>4</v>
      </c>
      <c r="G20" s="18" t="b">
        <v>0</v>
      </c>
      <c r="H20" s="18" t="s">
        <v>693</v>
      </c>
      <c r="K20" s="18" t="b">
        <v>1</v>
      </c>
    </row>
    <row r="21" spans="1:11" x14ac:dyDescent="0.25">
      <c r="A21" s="18">
        <v>20</v>
      </c>
      <c r="B21" s="18" t="s">
        <v>691</v>
      </c>
      <c r="C21" s="22">
        <v>25</v>
      </c>
      <c r="D21" s="22">
        <v>350</v>
      </c>
      <c r="E21" s="18" t="s">
        <v>575</v>
      </c>
      <c r="F21" s="18" t="s">
        <v>4</v>
      </c>
      <c r="G21" s="18" t="b">
        <v>0</v>
      </c>
      <c r="H21" s="18" t="s">
        <v>694</v>
      </c>
      <c r="I21" s="22">
        <v>250</v>
      </c>
      <c r="J21" s="22">
        <v>120</v>
      </c>
      <c r="K21" s="18" t="b">
        <v>1</v>
      </c>
    </row>
    <row r="22" spans="1:11" x14ac:dyDescent="0.25">
      <c r="A22" s="18">
        <v>21</v>
      </c>
      <c r="B22" s="18" t="s">
        <v>695</v>
      </c>
      <c r="C22" s="22">
        <v>35</v>
      </c>
      <c r="D22" s="22">
        <v>100</v>
      </c>
      <c r="E22" s="18" t="s">
        <v>575</v>
      </c>
      <c r="F22" s="18" t="s">
        <v>2</v>
      </c>
      <c r="G22" s="18" t="b">
        <v>0</v>
      </c>
      <c r="H22" s="18" t="s">
        <v>696</v>
      </c>
      <c r="I22" s="22">
        <v>350</v>
      </c>
      <c r="J22" s="22">
        <v>175</v>
      </c>
      <c r="K22" s="18" t="b">
        <v>1</v>
      </c>
    </row>
    <row r="23" spans="1:11" x14ac:dyDescent="0.25">
      <c r="A23" s="18">
        <v>22</v>
      </c>
      <c r="B23" s="18" t="s">
        <v>695</v>
      </c>
      <c r="C23" s="22">
        <v>460</v>
      </c>
      <c r="D23" s="22">
        <v>960</v>
      </c>
      <c r="E23" s="18" t="s">
        <v>575</v>
      </c>
      <c r="F23" s="18" t="s">
        <v>2</v>
      </c>
      <c r="G23" s="18" t="b">
        <v>0</v>
      </c>
      <c r="H23" s="18" t="s">
        <v>697</v>
      </c>
      <c r="I23" s="22">
        <v>460</v>
      </c>
      <c r="J23" s="22">
        <v>925</v>
      </c>
      <c r="K23" s="18" t="b">
        <v>1</v>
      </c>
    </row>
    <row r="24" spans="1:11" x14ac:dyDescent="0.25">
      <c r="A24" s="18">
        <v>23</v>
      </c>
      <c r="B24" s="18" t="s">
        <v>695</v>
      </c>
      <c r="C24" s="22">
        <v>110</v>
      </c>
      <c r="D24" s="22">
        <v>450</v>
      </c>
      <c r="E24" s="18" t="s">
        <v>575</v>
      </c>
      <c r="F24" s="18" t="s">
        <v>2</v>
      </c>
      <c r="G24" s="18" t="b">
        <v>0</v>
      </c>
      <c r="H24" s="18" t="s">
        <v>696</v>
      </c>
      <c r="I24" s="22">
        <v>350</v>
      </c>
      <c r="J24" s="22">
        <v>175</v>
      </c>
      <c r="K24" s="18" t="b">
        <v>1</v>
      </c>
    </row>
    <row r="25" spans="1:11" x14ac:dyDescent="0.25">
      <c r="A25" s="18">
        <v>24</v>
      </c>
      <c r="B25" s="18" t="s">
        <v>695</v>
      </c>
      <c r="C25" s="22">
        <v>35</v>
      </c>
      <c r="D25" s="22">
        <v>100</v>
      </c>
      <c r="E25" s="18" t="s">
        <v>575</v>
      </c>
      <c r="F25" s="18" t="s">
        <v>3</v>
      </c>
      <c r="G25" s="18" t="b">
        <v>1</v>
      </c>
      <c r="H25" s="18" t="s">
        <v>696</v>
      </c>
      <c r="I25" s="22">
        <v>350</v>
      </c>
      <c r="J25" s="22">
        <v>175</v>
      </c>
      <c r="K25" s="18" t="b">
        <v>1</v>
      </c>
    </row>
    <row r="26" spans="1:11" x14ac:dyDescent="0.25">
      <c r="A26" s="18">
        <v>25</v>
      </c>
      <c r="B26" s="18" t="s">
        <v>695</v>
      </c>
      <c r="C26" s="22">
        <v>35</v>
      </c>
      <c r="D26" s="22">
        <v>100</v>
      </c>
      <c r="E26" s="18" t="s">
        <v>575</v>
      </c>
      <c r="F26" s="18" t="s">
        <v>3</v>
      </c>
      <c r="G26" s="18" t="b">
        <v>0</v>
      </c>
      <c r="H26" s="18" t="s">
        <v>696</v>
      </c>
      <c r="I26" s="22">
        <v>350</v>
      </c>
      <c r="J26" s="22">
        <v>175</v>
      </c>
      <c r="K26" s="18" t="b">
        <v>1</v>
      </c>
    </row>
    <row r="27" spans="1:11" x14ac:dyDescent="0.25">
      <c r="A27" s="18">
        <v>26</v>
      </c>
      <c r="B27" s="18" t="s">
        <v>698</v>
      </c>
      <c r="C27" s="22">
        <v>25</v>
      </c>
      <c r="D27" s="22">
        <v>350</v>
      </c>
      <c r="E27" s="18" t="s">
        <v>645</v>
      </c>
      <c r="F27" s="18" t="s">
        <v>3</v>
      </c>
      <c r="G27" s="18" t="b">
        <v>0</v>
      </c>
      <c r="H27" s="18" t="s">
        <v>694</v>
      </c>
      <c r="I27" s="22">
        <v>250</v>
      </c>
      <c r="J27" s="22">
        <v>120</v>
      </c>
      <c r="K27" s="18" t="b">
        <v>1</v>
      </c>
    </row>
    <row r="28" spans="1:11" x14ac:dyDescent="0.25">
      <c r="A28" s="18">
        <v>27</v>
      </c>
      <c r="B28" s="18" t="s">
        <v>698</v>
      </c>
      <c r="C28" s="22">
        <v>360</v>
      </c>
      <c r="D28" s="22">
        <v>960</v>
      </c>
      <c r="E28" s="18" t="s">
        <v>575</v>
      </c>
      <c r="F28" s="18" t="s">
        <v>2</v>
      </c>
      <c r="G28" s="18" t="b">
        <v>0</v>
      </c>
      <c r="H28" s="18" t="s">
        <v>697</v>
      </c>
      <c r="I28" s="22">
        <v>460</v>
      </c>
      <c r="J28" s="22">
        <v>925</v>
      </c>
      <c r="K28" s="18" t="b">
        <v>1</v>
      </c>
    </row>
    <row r="29" spans="1:11" x14ac:dyDescent="0.25">
      <c r="A29" s="18">
        <v>28</v>
      </c>
      <c r="B29" s="18" t="s">
        <v>698</v>
      </c>
      <c r="C29" s="22">
        <v>25</v>
      </c>
      <c r="D29" s="22">
        <v>350</v>
      </c>
      <c r="E29" s="18" t="s">
        <v>635</v>
      </c>
      <c r="F29" s="18" t="s">
        <v>3</v>
      </c>
      <c r="G29" s="18" t="b">
        <v>0</v>
      </c>
      <c r="H29" s="18" t="s">
        <v>694</v>
      </c>
      <c r="I29" s="22">
        <v>250</v>
      </c>
      <c r="J29" s="22">
        <v>120</v>
      </c>
      <c r="K29" s="18" t="b">
        <v>1</v>
      </c>
    </row>
    <row r="30" spans="1:11" x14ac:dyDescent="0.25">
      <c r="A30" s="18">
        <v>29</v>
      </c>
      <c r="B30" s="18" t="s">
        <v>698</v>
      </c>
      <c r="C30" s="22">
        <v>25</v>
      </c>
      <c r="D30" s="22">
        <v>350</v>
      </c>
      <c r="E30" s="18" t="s">
        <v>575</v>
      </c>
      <c r="F30" s="18" t="s">
        <v>3</v>
      </c>
      <c r="G30" s="18" t="b">
        <v>0</v>
      </c>
      <c r="H30" s="18" t="s">
        <v>694</v>
      </c>
      <c r="I30" s="22">
        <v>250</v>
      </c>
      <c r="J30" s="22">
        <v>120</v>
      </c>
      <c r="K30" s="18" t="b">
        <v>1</v>
      </c>
    </row>
    <row r="31" spans="1:11" x14ac:dyDescent="0.25">
      <c r="A31" s="18">
        <v>30</v>
      </c>
      <c r="B31" s="18" t="s">
        <v>698</v>
      </c>
      <c r="C31" s="22">
        <v>30</v>
      </c>
      <c r="D31" s="22">
        <v>40</v>
      </c>
      <c r="E31" s="18" t="s">
        <v>645</v>
      </c>
      <c r="F31" s="18" t="s">
        <v>3</v>
      </c>
      <c r="G31" s="18" t="b">
        <v>0</v>
      </c>
      <c r="H31" s="18" t="s">
        <v>690</v>
      </c>
      <c r="K31" s="18" t="b">
        <v>1</v>
      </c>
    </row>
    <row r="32" spans="1:11" x14ac:dyDescent="0.25">
      <c r="A32" s="18">
        <v>31</v>
      </c>
      <c r="B32" s="18" t="s">
        <v>698</v>
      </c>
      <c r="C32" s="22">
        <v>25</v>
      </c>
      <c r="D32" s="22">
        <v>350</v>
      </c>
      <c r="E32" s="18" t="s">
        <v>575</v>
      </c>
      <c r="F32" s="18" t="s">
        <v>2</v>
      </c>
      <c r="G32" s="18" t="b">
        <v>0</v>
      </c>
      <c r="H32" s="18" t="s">
        <v>694</v>
      </c>
      <c r="I32" s="22">
        <v>250</v>
      </c>
      <c r="J32" s="22">
        <v>120</v>
      </c>
      <c r="K32" s="18" t="b">
        <v>1</v>
      </c>
    </row>
    <row r="33" spans="1:11" x14ac:dyDescent="0.25">
      <c r="A33" s="18">
        <v>32</v>
      </c>
      <c r="B33" s="18" t="s">
        <v>698</v>
      </c>
      <c r="C33" s="22">
        <v>30</v>
      </c>
      <c r="D33" s="22">
        <v>40</v>
      </c>
      <c r="E33" s="18" t="s">
        <v>575</v>
      </c>
      <c r="F33" s="18" t="s">
        <v>3</v>
      </c>
      <c r="G33" s="18" t="b">
        <v>0</v>
      </c>
      <c r="H33" s="18" t="s">
        <v>690</v>
      </c>
      <c r="K33" s="18" t="b">
        <v>1</v>
      </c>
    </row>
    <row r="34" spans="1:11" x14ac:dyDescent="0.25">
      <c r="A34" s="18">
        <v>33</v>
      </c>
      <c r="B34" s="18" t="s">
        <v>698</v>
      </c>
      <c r="C34" s="22">
        <v>30</v>
      </c>
      <c r="D34" s="22">
        <v>40</v>
      </c>
      <c r="E34" s="18" t="s">
        <v>575</v>
      </c>
      <c r="F34" s="18" t="s">
        <v>3</v>
      </c>
      <c r="G34" s="18" t="b">
        <v>0</v>
      </c>
      <c r="H34" s="18" t="s">
        <v>689</v>
      </c>
      <c r="K34" s="18" t="b">
        <v>1</v>
      </c>
    </row>
    <row r="35" spans="1:11" x14ac:dyDescent="0.25">
      <c r="A35" s="18">
        <v>34</v>
      </c>
      <c r="B35" s="18" t="s">
        <v>698</v>
      </c>
      <c r="C35" s="22">
        <v>30</v>
      </c>
      <c r="D35" s="22">
        <v>40</v>
      </c>
      <c r="E35" s="18" t="s">
        <v>635</v>
      </c>
      <c r="F35" s="18" t="s">
        <v>3</v>
      </c>
      <c r="G35" s="18" t="b">
        <v>0</v>
      </c>
      <c r="H35" s="18" t="s">
        <v>690</v>
      </c>
      <c r="K35" s="18" t="b">
        <v>1</v>
      </c>
    </row>
    <row r="36" spans="1:11" x14ac:dyDescent="0.25">
      <c r="A36" s="18">
        <v>35</v>
      </c>
      <c r="B36" s="18" t="s">
        <v>698</v>
      </c>
      <c r="C36" s="22">
        <v>30</v>
      </c>
      <c r="D36" s="22">
        <v>40</v>
      </c>
      <c r="E36" s="18" t="s">
        <v>645</v>
      </c>
      <c r="F36" s="18" t="s">
        <v>3</v>
      </c>
      <c r="G36" s="18" t="b">
        <v>0</v>
      </c>
      <c r="H36" s="18" t="s">
        <v>689</v>
      </c>
      <c r="K36" s="18" t="b">
        <v>1</v>
      </c>
    </row>
    <row r="37" spans="1:11" x14ac:dyDescent="0.25">
      <c r="A37" s="18">
        <v>36</v>
      </c>
      <c r="B37" s="18" t="s">
        <v>698</v>
      </c>
      <c r="C37" s="22">
        <v>30</v>
      </c>
      <c r="D37" s="22">
        <v>40</v>
      </c>
      <c r="E37" s="18" t="s">
        <v>635</v>
      </c>
      <c r="F37" s="18" t="s">
        <v>3</v>
      </c>
      <c r="G37" s="18" t="b">
        <v>0</v>
      </c>
      <c r="H37" s="18" t="s">
        <v>689</v>
      </c>
      <c r="K37" s="18" t="b">
        <v>1</v>
      </c>
    </row>
    <row r="38" spans="1:11" x14ac:dyDescent="0.25">
      <c r="A38" s="18">
        <v>37</v>
      </c>
      <c r="B38" s="18" t="s">
        <v>699</v>
      </c>
      <c r="C38" s="22">
        <v>120</v>
      </c>
      <c r="D38" s="22">
        <v>250</v>
      </c>
      <c r="E38" s="18" t="s">
        <v>645</v>
      </c>
      <c r="F38" s="18" t="s">
        <v>5</v>
      </c>
      <c r="G38" s="18" t="b">
        <v>0</v>
      </c>
      <c r="H38" s="18" t="s">
        <v>694</v>
      </c>
      <c r="I38" s="22">
        <v>250</v>
      </c>
      <c r="J38" s="22">
        <v>120</v>
      </c>
      <c r="K38" s="18" t="b">
        <v>1</v>
      </c>
    </row>
    <row r="39" spans="1:11" x14ac:dyDescent="0.25">
      <c r="A39" s="18">
        <v>38</v>
      </c>
      <c r="B39" s="18" t="s">
        <v>699</v>
      </c>
      <c r="C39" s="22">
        <v>120</v>
      </c>
      <c r="D39" s="22">
        <v>250</v>
      </c>
      <c r="E39" s="18" t="s">
        <v>645</v>
      </c>
      <c r="F39" s="18" t="s">
        <v>3</v>
      </c>
      <c r="G39" s="18" t="b">
        <v>1</v>
      </c>
      <c r="H39" s="18" t="s">
        <v>694</v>
      </c>
      <c r="I39" s="22">
        <v>250</v>
      </c>
      <c r="J39" s="22">
        <v>120</v>
      </c>
      <c r="K39" s="18" t="b">
        <v>1</v>
      </c>
    </row>
    <row r="40" spans="1:11" x14ac:dyDescent="0.25">
      <c r="A40" s="18">
        <v>39</v>
      </c>
      <c r="B40" s="18" t="s">
        <v>699</v>
      </c>
      <c r="C40" s="22">
        <v>460</v>
      </c>
      <c r="D40" s="22">
        <v>960</v>
      </c>
      <c r="E40" s="18" t="s">
        <v>575</v>
      </c>
      <c r="F40" s="18" t="s">
        <v>3</v>
      </c>
      <c r="G40" s="18" t="b">
        <v>0</v>
      </c>
      <c r="H40" s="18" t="s">
        <v>697</v>
      </c>
      <c r="I40" s="22">
        <v>925</v>
      </c>
      <c r="J40" s="22">
        <v>460</v>
      </c>
      <c r="K40" s="18" t="b">
        <v>1</v>
      </c>
    </row>
    <row r="41" spans="1:11" x14ac:dyDescent="0.25">
      <c r="A41" s="18">
        <v>40</v>
      </c>
      <c r="B41" s="18" t="s">
        <v>699</v>
      </c>
      <c r="C41" s="22">
        <v>460</v>
      </c>
      <c r="D41" s="22">
        <v>960</v>
      </c>
      <c r="E41" s="18" t="s">
        <v>645</v>
      </c>
      <c r="F41" s="18" t="s">
        <v>3</v>
      </c>
      <c r="G41" s="18" t="b">
        <v>1</v>
      </c>
      <c r="H41" s="18" t="s">
        <v>697</v>
      </c>
      <c r="I41" s="22">
        <v>925</v>
      </c>
      <c r="J41" s="22">
        <v>460</v>
      </c>
      <c r="K41" s="18" t="b">
        <v>1</v>
      </c>
    </row>
    <row r="42" spans="1:11" x14ac:dyDescent="0.25">
      <c r="A42" s="18">
        <v>41</v>
      </c>
      <c r="B42" s="18" t="s">
        <v>699</v>
      </c>
      <c r="C42" s="22">
        <v>460</v>
      </c>
      <c r="D42" s="22">
        <v>960</v>
      </c>
      <c r="E42" s="18" t="s">
        <v>646</v>
      </c>
      <c r="F42" s="18" t="s">
        <v>5</v>
      </c>
      <c r="G42" s="18" t="b">
        <v>0</v>
      </c>
      <c r="H42" s="18" t="s">
        <v>697</v>
      </c>
      <c r="I42" s="22">
        <v>925</v>
      </c>
      <c r="J42" s="22">
        <v>460</v>
      </c>
      <c r="K42" s="18" t="b">
        <v>1</v>
      </c>
    </row>
    <row r="43" spans="1:11" x14ac:dyDescent="0.25">
      <c r="A43" s="18">
        <v>42</v>
      </c>
      <c r="B43" s="18" t="s">
        <v>699</v>
      </c>
      <c r="C43" s="22">
        <v>460</v>
      </c>
      <c r="D43" s="22">
        <v>960</v>
      </c>
      <c r="E43" s="18" t="s">
        <v>646</v>
      </c>
      <c r="F43" s="18" t="s">
        <v>3</v>
      </c>
      <c r="G43" s="18" t="b">
        <v>0</v>
      </c>
      <c r="H43" s="18" t="s">
        <v>697</v>
      </c>
      <c r="I43" s="22">
        <v>925</v>
      </c>
      <c r="J43" s="22">
        <v>460</v>
      </c>
      <c r="K43" s="18" t="b">
        <v>0</v>
      </c>
    </row>
    <row r="44" spans="1:11" x14ac:dyDescent="0.25">
      <c r="A44" s="18">
        <v>43</v>
      </c>
      <c r="B44" s="18" t="s">
        <v>699</v>
      </c>
      <c r="C44" s="22">
        <v>120</v>
      </c>
      <c r="D44" s="22">
        <v>250</v>
      </c>
      <c r="E44" s="18" t="s">
        <v>635</v>
      </c>
      <c r="F44" s="18" t="s">
        <v>5</v>
      </c>
      <c r="G44" s="18" t="b">
        <v>0</v>
      </c>
      <c r="H44" s="18" t="s">
        <v>694</v>
      </c>
      <c r="I44" s="22">
        <v>250</v>
      </c>
      <c r="J44" s="22">
        <v>120</v>
      </c>
      <c r="K44" s="18" t="b">
        <v>1</v>
      </c>
    </row>
    <row r="45" spans="1:11" x14ac:dyDescent="0.25">
      <c r="A45" s="18">
        <v>44</v>
      </c>
      <c r="B45" s="18" t="s">
        <v>699</v>
      </c>
      <c r="C45" s="22">
        <v>120</v>
      </c>
      <c r="D45" s="22">
        <v>250</v>
      </c>
      <c r="E45" s="18" t="s">
        <v>575</v>
      </c>
      <c r="F45" s="18" t="s">
        <v>3</v>
      </c>
      <c r="G45" s="18" t="b">
        <v>1</v>
      </c>
      <c r="H45" s="18" t="s">
        <v>694</v>
      </c>
      <c r="I45" s="22">
        <v>250</v>
      </c>
      <c r="J45" s="22">
        <v>120</v>
      </c>
      <c r="K45" s="18" t="b">
        <v>1</v>
      </c>
    </row>
    <row r="46" spans="1:11" x14ac:dyDescent="0.25">
      <c r="A46" s="18">
        <v>45</v>
      </c>
      <c r="B46" s="18" t="s">
        <v>699</v>
      </c>
      <c r="C46" s="22">
        <v>460</v>
      </c>
      <c r="D46" s="22">
        <v>960</v>
      </c>
      <c r="E46" s="18" t="s">
        <v>644</v>
      </c>
      <c r="F46" s="18" t="s">
        <v>5</v>
      </c>
      <c r="G46" s="18" t="b">
        <v>0</v>
      </c>
      <c r="H46" s="18" t="s">
        <v>697</v>
      </c>
      <c r="I46" s="22">
        <v>925</v>
      </c>
      <c r="J46" s="22">
        <v>460</v>
      </c>
      <c r="K46" s="18" t="b">
        <v>1</v>
      </c>
    </row>
    <row r="47" spans="1:11" x14ac:dyDescent="0.25">
      <c r="A47" s="18">
        <v>46</v>
      </c>
      <c r="B47" s="18" t="s">
        <v>699</v>
      </c>
      <c r="C47" s="22">
        <v>120</v>
      </c>
      <c r="D47" s="22">
        <v>250</v>
      </c>
      <c r="E47" s="18" t="s">
        <v>575</v>
      </c>
      <c r="F47" s="18" t="s">
        <v>5</v>
      </c>
      <c r="G47" s="18" t="b">
        <v>0</v>
      </c>
      <c r="H47" s="18" t="s">
        <v>694</v>
      </c>
      <c r="I47" s="22">
        <v>250</v>
      </c>
      <c r="J47" s="22">
        <v>120</v>
      </c>
      <c r="K47" s="18" t="b">
        <v>1</v>
      </c>
    </row>
    <row r="48" spans="1:11" x14ac:dyDescent="0.25">
      <c r="A48" s="18">
        <v>47</v>
      </c>
      <c r="B48" s="18" t="s">
        <v>699</v>
      </c>
      <c r="C48" s="22">
        <v>460</v>
      </c>
      <c r="D48" s="22">
        <v>960</v>
      </c>
      <c r="E48" s="18" t="s">
        <v>575</v>
      </c>
      <c r="F48" s="18" t="s">
        <v>3</v>
      </c>
      <c r="G48" s="18" t="b">
        <v>1</v>
      </c>
      <c r="H48" s="18" t="s">
        <v>697</v>
      </c>
      <c r="I48" s="22">
        <v>925</v>
      </c>
      <c r="J48" s="22">
        <v>460</v>
      </c>
      <c r="K48" s="18" t="b">
        <v>1</v>
      </c>
    </row>
    <row r="49" spans="1:11" x14ac:dyDescent="0.25">
      <c r="A49" s="18">
        <v>48</v>
      </c>
      <c r="B49" s="18" t="s">
        <v>699</v>
      </c>
      <c r="C49" s="22">
        <v>460</v>
      </c>
      <c r="D49" s="22">
        <v>960</v>
      </c>
      <c r="E49" s="18" t="s">
        <v>635</v>
      </c>
      <c r="F49" s="18" t="s">
        <v>5</v>
      </c>
      <c r="G49" s="18" t="b">
        <v>0</v>
      </c>
      <c r="H49" s="18" t="s">
        <v>697</v>
      </c>
      <c r="I49" s="22">
        <v>925</v>
      </c>
      <c r="J49" s="22">
        <v>460</v>
      </c>
      <c r="K49" s="18" t="b">
        <v>1</v>
      </c>
    </row>
    <row r="50" spans="1:11" x14ac:dyDescent="0.25">
      <c r="A50" s="18">
        <v>49</v>
      </c>
      <c r="B50" s="18" t="s">
        <v>699</v>
      </c>
      <c r="C50" s="22">
        <v>460</v>
      </c>
      <c r="D50" s="22">
        <v>960</v>
      </c>
      <c r="E50" s="18" t="s">
        <v>575</v>
      </c>
      <c r="F50" s="18" t="s">
        <v>5</v>
      </c>
      <c r="G50" s="18" t="b">
        <v>0</v>
      </c>
      <c r="H50" s="18" t="s">
        <v>697</v>
      </c>
      <c r="I50" s="22">
        <v>925</v>
      </c>
      <c r="J50" s="22">
        <v>460</v>
      </c>
      <c r="K50" s="18" t="b">
        <v>1</v>
      </c>
    </row>
    <row r="51" spans="1:11" x14ac:dyDescent="0.25">
      <c r="A51" s="18">
        <v>50</v>
      </c>
      <c r="B51" s="18" t="s">
        <v>699</v>
      </c>
      <c r="C51" s="22">
        <v>460</v>
      </c>
      <c r="D51" s="22">
        <v>960</v>
      </c>
      <c r="E51" s="18" t="s">
        <v>645</v>
      </c>
      <c r="F51" s="18" t="s">
        <v>5</v>
      </c>
      <c r="G51" s="18" t="b">
        <v>0</v>
      </c>
      <c r="H51" s="18" t="s">
        <v>697</v>
      </c>
      <c r="I51" s="22">
        <v>925</v>
      </c>
      <c r="J51" s="22">
        <v>460</v>
      </c>
      <c r="K51" s="18" t="b">
        <v>1</v>
      </c>
    </row>
    <row r="52" spans="1:11" x14ac:dyDescent="0.25">
      <c r="A52" s="18">
        <v>51</v>
      </c>
      <c r="B52" s="18" t="s">
        <v>699</v>
      </c>
      <c r="C52" s="22">
        <v>120</v>
      </c>
      <c r="D52" s="22">
        <v>250</v>
      </c>
      <c r="E52" s="18" t="s">
        <v>635</v>
      </c>
      <c r="F52" s="18" t="s">
        <v>3</v>
      </c>
      <c r="G52" s="18" t="b">
        <v>1</v>
      </c>
      <c r="H52" s="18" t="s">
        <v>694</v>
      </c>
      <c r="I52" s="22">
        <v>250</v>
      </c>
      <c r="J52" s="22">
        <v>120</v>
      </c>
      <c r="K52" s="18" t="b">
        <v>1</v>
      </c>
    </row>
    <row r="53" spans="1:11" x14ac:dyDescent="0.25">
      <c r="A53" s="18">
        <v>52</v>
      </c>
      <c r="B53" s="18" t="s">
        <v>699</v>
      </c>
      <c r="C53" s="22">
        <v>120</v>
      </c>
      <c r="D53" s="22">
        <v>250</v>
      </c>
      <c r="E53" s="18" t="s">
        <v>575</v>
      </c>
      <c r="F53" s="18" t="s">
        <v>3</v>
      </c>
      <c r="G53" s="18" t="b">
        <v>0</v>
      </c>
      <c r="H53" s="18" t="s">
        <v>694</v>
      </c>
      <c r="I53" s="22">
        <v>250</v>
      </c>
      <c r="J53" s="22">
        <v>120</v>
      </c>
      <c r="K53" s="18" t="b">
        <v>1</v>
      </c>
    </row>
    <row r="54" spans="1:11" x14ac:dyDescent="0.25">
      <c r="A54" s="18">
        <v>53</v>
      </c>
      <c r="B54" s="18" t="s">
        <v>699</v>
      </c>
      <c r="C54" s="22">
        <v>120</v>
      </c>
      <c r="D54" s="22">
        <v>250</v>
      </c>
      <c r="E54" s="18" t="s">
        <v>646</v>
      </c>
      <c r="F54" s="18" t="s">
        <v>5</v>
      </c>
      <c r="G54" s="18" t="b">
        <v>0</v>
      </c>
      <c r="H54" s="18" t="s">
        <v>700</v>
      </c>
      <c r="I54" s="22">
        <v>250</v>
      </c>
      <c r="J54" s="22">
        <v>120</v>
      </c>
      <c r="K54" s="18" t="b">
        <v>1</v>
      </c>
    </row>
    <row r="55" spans="1:11" x14ac:dyDescent="0.25">
      <c r="A55" s="18">
        <v>54</v>
      </c>
      <c r="B55" s="18" t="s">
        <v>699</v>
      </c>
      <c r="C55" s="22">
        <v>120</v>
      </c>
      <c r="D55" s="22">
        <v>250</v>
      </c>
      <c r="E55" s="18" t="s">
        <v>644</v>
      </c>
      <c r="F55" s="18" t="s">
        <v>5</v>
      </c>
      <c r="G55" s="18" t="b">
        <v>0</v>
      </c>
      <c r="H55" s="18" t="s">
        <v>694</v>
      </c>
      <c r="I55" s="22">
        <v>250</v>
      </c>
      <c r="J55" s="22">
        <v>120</v>
      </c>
      <c r="K55" s="18" t="b">
        <v>1</v>
      </c>
    </row>
    <row r="56" spans="1:11" x14ac:dyDescent="0.25">
      <c r="A56" s="18">
        <v>55</v>
      </c>
      <c r="B56" s="18" t="s">
        <v>699</v>
      </c>
      <c r="C56" s="22">
        <v>460</v>
      </c>
      <c r="D56" s="22">
        <v>960</v>
      </c>
      <c r="E56" s="18" t="s">
        <v>635</v>
      </c>
      <c r="F56" s="18" t="s">
        <v>3</v>
      </c>
      <c r="G56" s="18" t="b">
        <v>1</v>
      </c>
      <c r="H56" s="18" t="s">
        <v>697</v>
      </c>
      <c r="I56" s="22">
        <v>925</v>
      </c>
      <c r="J56" s="22">
        <v>460</v>
      </c>
      <c r="K56" s="18" t="b">
        <v>1</v>
      </c>
    </row>
    <row r="57" spans="1:11" x14ac:dyDescent="0.25">
      <c r="A57" s="18">
        <v>56</v>
      </c>
      <c r="B57" s="18" t="s">
        <v>701</v>
      </c>
      <c r="C57" s="22">
        <v>7.5</v>
      </c>
      <c r="D57" s="22">
        <v>44</v>
      </c>
      <c r="E57" s="18" t="s">
        <v>644</v>
      </c>
      <c r="F57" s="18" t="s">
        <v>5</v>
      </c>
      <c r="G57" s="18" t="b">
        <v>0</v>
      </c>
      <c r="H57" s="18" t="s">
        <v>689</v>
      </c>
      <c r="K57" s="18" t="b">
        <v>0</v>
      </c>
    </row>
    <row r="58" spans="1:11" x14ac:dyDescent="0.25">
      <c r="A58" s="18">
        <v>57</v>
      </c>
      <c r="B58" s="18" t="s">
        <v>701</v>
      </c>
      <c r="C58" s="22">
        <v>7.5</v>
      </c>
      <c r="D58" s="22">
        <v>44</v>
      </c>
      <c r="E58" s="18" t="s">
        <v>645</v>
      </c>
      <c r="F58" s="18" t="s">
        <v>5</v>
      </c>
      <c r="G58" s="18" t="b">
        <v>0</v>
      </c>
      <c r="H58" s="18" t="s">
        <v>690</v>
      </c>
      <c r="K58" s="18" t="b">
        <v>1</v>
      </c>
    </row>
    <row r="59" spans="1:11" x14ac:dyDescent="0.25">
      <c r="A59" s="18">
        <v>58</v>
      </c>
      <c r="B59" s="18" t="s">
        <v>701</v>
      </c>
      <c r="C59" s="22">
        <v>7.5</v>
      </c>
      <c r="D59" s="22">
        <v>44</v>
      </c>
      <c r="E59" s="18" t="s">
        <v>575</v>
      </c>
      <c r="F59" s="18" t="s">
        <v>5</v>
      </c>
      <c r="G59" s="18" t="b">
        <v>0</v>
      </c>
      <c r="H59" s="18" t="s">
        <v>690</v>
      </c>
      <c r="K59" s="18" t="b">
        <v>0</v>
      </c>
    </row>
    <row r="60" spans="1:11" x14ac:dyDescent="0.25">
      <c r="A60" s="18">
        <v>59</v>
      </c>
      <c r="B60" s="18" t="s">
        <v>701</v>
      </c>
      <c r="C60" s="22">
        <v>7.5</v>
      </c>
      <c r="D60" s="22">
        <v>44</v>
      </c>
      <c r="E60" s="18" t="s">
        <v>635</v>
      </c>
      <c r="F60" s="18" t="s">
        <v>5</v>
      </c>
      <c r="G60" s="18" t="b">
        <v>0</v>
      </c>
      <c r="H60" s="18" t="s">
        <v>689</v>
      </c>
      <c r="K60" s="18" t="b">
        <v>0</v>
      </c>
    </row>
    <row r="61" spans="1:11" x14ac:dyDescent="0.25">
      <c r="A61" s="18">
        <v>60</v>
      </c>
      <c r="B61" s="18" t="s">
        <v>701</v>
      </c>
      <c r="C61" s="22">
        <v>7.5</v>
      </c>
      <c r="D61" s="22">
        <v>44</v>
      </c>
      <c r="E61" s="18" t="s">
        <v>575</v>
      </c>
      <c r="F61" s="18" t="s">
        <v>5</v>
      </c>
      <c r="G61" s="18" t="b">
        <v>0</v>
      </c>
      <c r="H61" s="18" t="s">
        <v>689</v>
      </c>
      <c r="K61" s="18" t="b">
        <v>0</v>
      </c>
    </row>
    <row r="62" spans="1:11" x14ac:dyDescent="0.25">
      <c r="A62" s="18">
        <v>61</v>
      </c>
      <c r="B62" s="18" t="s">
        <v>701</v>
      </c>
      <c r="C62" s="22">
        <v>7.5</v>
      </c>
      <c r="D62" s="22">
        <v>44</v>
      </c>
      <c r="E62" s="18" t="s">
        <v>646</v>
      </c>
      <c r="F62" s="18" t="s">
        <v>5</v>
      </c>
      <c r="G62" s="18" t="b">
        <v>0</v>
      </c>
      <c r="H62" s="18" t="s">
        <v>690</v>
      </c>
      <c r="K62" s="18" t="b">
        <v>0</v>
      </c>
    </row>
    <row r="63" spans="1:11" x14ac:dyDescent="0.25">
      <c r="A63" s="18">
        <v>62</v>
      </c>
      <c r="B63" s="18" t="s">
        <v>701</v>
      </c>
      <c r="C63" s="22">
        <v>7.5</v>
      </c>
      <c r="D63" s="22">
        <v>44</v>
      </c>
      <c r="E63" s="18" t="s">
        <v>644</v>
      </c>
      <c r="F63" s="18" t="s">
        <v>5</v>
      </c>
      <c r="G63" s="18" t="b">
        <v>0</v>
      </c>
      <c r="H63" s="18" t="s">
        <v>690</v>
      </c>
      <c r="K63" s="18" t="b">
        <v>0</v>
      </c>
    </row>
    <row r="64" spans="1:11" x14ac:dyDescent="0.25">
      <c r="A64" s="18">
        <v>63</v>
      </c>
      <c r="B64" s="18" t="s">
        <v>701</v>
      </c>
      <c r="C64" s="22">
        <v>7.5</v>
      </c>
      <c r="D64" s="22">
        <v>44</v>
      </c>
      <c r="E64" s="18" t="s">
        <v>645</v>
      </c>
      <c r="F64" s="18" t="s">
        <v>5</v>
      </c>
      <c r="G64" s="18" t="b">
        <v>0</v>
      </c>
      <c r="H64" s="18" t="s">
        <v>690</v>
      </c>
      <c r="K64" s="18" t="b">
        <v>0</v>
      </c>
    </row>
    <row r="65" spans="1:11" x14ac:dyDescent="0.25">
      <c r="A65" s="18">
        <v>64</v>
      </c>
      <c r="B65" s="18" t="s">
        <v>701</v>
      </c>
      <c r="C65" s="22">
        <v>7.5</v>
      </c>
      <c r="D65" s="22">
        <v>44</v>
      </c>
      <c r="E65" s="18" t="s">
        <v>635</v>
      </c>
      <c r="F65" s="18" t="s">
        <v>5</v>
      </c>
      <c r="G65" s="18" t="b">
        <v>0</v>
      </c>
      <c r="H65" s="18" t="s">
        <v>690</v>
      </c>
      <c r="K65" s="18" t="b">
        <v>0</v>
      </c>
    </row>
    <row r="66" spans="1:11" x14ac:dyDescent="0.25">
      <c r="A66" s="18">
        <v>65</v>
      </c>
      <c r="B66" s="18" t="s">
        <v>701</v>
      </c>
      <c r="C66" s="22">
        <v>7.5</v>
      </c>
      <c r="D66" s="22">
        <v>44</v>
      </c>
      <c r="E66" s="18" t="s">
        <v>645</v>
      </c>
      <c r="F66" s="18" t="s">
        <v>5</v>
      </c>
      <c r="G66" s="18" t="b">
        <v>0</v>
      </c>
      <c r="H66" s="18" t="s">
        <v>689</v>
      </c>
      <c r="K66" s="18" t="b">
        <v>0</v>
      </c>
    </row>
    <row r="67" spans="1:11" x14ac:dyDescent="0.25">
      <c r="A67" s="18">
        <v>66</v>
      </c>
      <c r="B67" s="18" t="s">
        <v>701</v>
      </c>
      <c r="C67" s="22">
        <v>7.5</v>
      </c>
      <c r="D67" s="22">
        <v>44</v>
      </c>
      <c r="E67" s="18" t="s">
        <v>646</v>
      </c>
      <c r="F67" s="18" t="s">
        <v>5</v>
      </c>
      <c r="G67" s="18" t="b">
        <v>0</v>
      </c>
      <c r="H67" s="18" t="s">
        <v>689</v>
      </c>
      <c r="K67" s="18" t="b">
        <v>1</v>
      </c>
    </row>
    <row r="68" spans="1:11" x14ac:dyDescent="0.25">
      <c r="A68" s="18">
        <v>67</v>
      </c>
      <c r="B68" s="18" t="s">
        <v>701</v>
      </c>
      <c r="C68" s="22">
        <v>7.5</v>
      </c>
      <c r="D68" s="22">
        <v>44</v>
      </c>
      <c r="E68" s="18" t="s">
        <v>644</v>
      </c>
      <c r="F68" s="18" t="s">
        <v>5</v>
      </c>
      <c r="G68" s="18" t="b">
        <v>0</v>
      </c>
      <c r="H68" s="18" t="s">
        <v>689</v>
      </c>
      <c r="K68" s="18" t="b">
        <v>1</v>
      </c>
    </row>
    <row r="69" spans="1:11" x14ac:dyDescent="0.25">
      <c r="A69" s="18">
        <v>68</v>
      </c>
      <c r="B69" s="18" t="s">
        <v>701</v>
      </c>
      <c r="C69" s="22">
        <v>7.5</v>
      </c>
      <c r="D69" s="22">
        <v>44</v>
      </c>
      <c r="E69" s="18" t="s">
        <v>645</v>
      </c>
      <c r="F69" s="18" t="s">
        <v>5</v>
      </c>
      <c r="G69" s="18" t="b">
        <v>0</v>
      </c>
      <c r="H69" s="18" t="s">
        <v>689</v>
      </c>
      <c r="K69" s="18" t="b">
        <v>1</v>
      </c>
    </row>
    <row r="70" spans="1:11" x14ac:dyDescent="0.25">
      <c r="A70" s="18">
        <v>69</v>
      </c>
      <c r="B70" s="18" t="s">
        <v>701</v>
      </c>
      <c r="C70" s="22">
        <v>7.5</v>
      </c>
      <c r="D70" s="22">
        <v>44</v>
      </c>
      <c r="E70" s="18" t="s">
        <v>635</v>
      </c>
      <c r="F70" s="18" t="s">
        <v>5</v>
      </c>
      <c r="G70" s="18" t="b">
        <v>0</v>
      </c>
      <c r="H70" s="18" t="s">
        <v>689</v>
      </c>
      <c r="K70" s="18" t="b">
        <v>1</v>
      </c>
    </row>
    <row r="71" spans="1:11" x14ac:dyDescent="0.25">
      <c r="A71" s="18">
        <v>70</v>
      </c>
      <c r="B71" s="18" t="s">
        <v>701</v>
      </c>
      <c r="C71" s="22">
        <v>7.5</v>
      </c>
      <c r="D71" s="22">
        <v>44</v>
      </c>
      <c r="E71" s="18" t="s">
        <v>575</v>
      </c>
      <c r="F71" s="18" t="s">
        <v>5</v>
      </c>
      <c r="G71" s="18" t="b">
        <v>0</v>
      </c>
      <c r="H71" s="18" t="s">
        <v>689</v>
      </c>
      <c r="K71" s="18" t="b">
        <v>1</v>
      </c>
    </row>
    <row r="72" spans="1:11" x14ac:dyDescent="0.25">
      <c r="A72" s="18">
        <v>71</v>
      </c>
      <c r="B72" s="18" t="s">
        <v>701</v>
      </c>
      <c r="C72" s="22">
        <v>7.5</v>
      </c>
      <c r="D72" s="22">
        <v>44</v>
      </c>
      <c r="E72" s="18" t="s">
        <v>644</v>
      </c>
      <c r="F72" s="18" t="s">
        <v>5</v>
      </c>
      <c r="G72" s="18" t="b">
        <v>0</v>
      </c>
      <c r="H72" s="18" t="s">
        <v>690</v>
      </c>
      <c r="K72" s="18" t="b">
        <v>1</v>
      </c>
    </row>
    <row r="73" spans="1:11" x14ac:dyDescent="0.25">
      <c r="A73" s="18">
        <v>72</v>
      </c>
      <c r="B73" s="18" t="s">
        <v>701</v>
      </c>
      <c r="C73" s="22">
        <v>7.5</v>
      </c>
      <c r="D73" s="22">
        <v>44</v>
      </c>
      <c r="E73" s="18" t="s">
        <v>635</v>
      </c>
      <c r="F73" s="18" t="s">
        <v>5</v>
      </c>
      <c r="G73" s="18" t="b">
        <v>0</v>
      </c>
      <c r="H73" s="18" t="s">
        <v>690</v>
      </c>
      <c r="K73" s="18" t="b">
        <v>1</v>
      </c>
    </row>
    <row r="74" spans="1:11" x14ac:dyDescent="0.25">
      <c r="A74" s="18">
        <v>73</v>
      </c>
      <c r="B74" s="18" t="s">
        <v>701</v>
      </c>
      <c r="C74" s="22">
        <v>7.5</v>
      </c>
      <c r="D74" s="22">
        <v>44</v>
      </c>
      <c r="E74" s="18" t="s">
        <v>575</v>
      </c>
      <c r="F74" s="18" t="s">
        <v>5</v>
      </c>
      <c r="G74" s="18" t="b">
        <v>0</v>
      </c>
      <c r="H74" s="18" t="s">
        <v>690</v>
      </c>
      <c r="K74" s="18" t="b">
        <v>1</v>
      </c>
    </row>
    <row r="75" spans="1:11" x14ac:dyDescent="0.25">
      <c r="A75" s="18">
        <v>74</v>
      </c>
      <c r="B75" s="18" t="s">
        <v>701</v>
      </c>
      <c r="C75" s="22">
        <v>7.5</v>
      </c>
      <c r="D75" s="22">
        <v>44</v>
      </c>
      <c r="E75" s="18" t="s">
        <v>646</v>
      </c>
      <c r="F75" s="18" t="s">
        <v>5</v>
      </c>
      <c r="G75" s="18" t="b">
        <v>0</v>
      </c>
      <c r="H75" s="18" t="s">
        <v>689</v>
      </c>
      <c r="K75" s="18" t="b">
        <v>0</v>
      </c>
    </row>
    <row r="76" spans="1:11" x14ac:dyDescent="0.25">
      <c r="A76" s="18">
        <v>75</v>
      </c>
      <c r="B76" s="18" t="s">
        <v>701</v>
      </c>
      <c r="C76" s="22">
        <v>7.5</v>
      </c>
      <c r="D76" s="22">
        <v>44</v>
      </c>
      <c r="E76" s="18" t="s">
        <v>646</v>
      </c>
      <c r="F76" s="18" t="s">
        <v>5</v>
      </c>
      <c r="G76" s="18" t="b">
        <v>0</v>
      </c>
      <c r="H76" s="18" t="s">
        <v>690</v>
      </c>
      <c r="K76" s="18" t="b">
        <v>1</v>
      </c>
    </row>
    <row r="77" spans="1:11" x14ac:dyDescent="0.25">
      <c r="A77" s="18">
        <v>76</v>
      </c>
      <c r="B77" s="18" t="s">
        <v>702</v>
      </c>
      <c r="C77" s="22">
        <v>35</v>
      </c>
      <c r="D77" s="22">
        <v>200</v>
      </c>
      <c r="E77" s="18" t="s">
        <v>575</v>
      </c>
      <c r="F77" s="18" t="s">
        <v>6</v>
      </c>
      <c r="G77" s="18" t="b">
        <v>0</v>
      </c>
      <c r="H77" s="18" t="s">
        <v>696</v>
      </c>
      <c r="I77" s="22">
        <v>350</v>
      </c>
      <c r="J77" s="22">
        <v>175</v>
      </c>
      <c r="K77" s="18" t="b">
        <v>1</v>
      </c>
    </row>
  </sheetData>
  <autoFilter ref="A1:L1"/>
  <dataValidations count="3">
    <dataValidation type="list" allowBlank="1" showInputMessage="1" showErrorMessage="1" sqref="E2:E1000">
      <formula1>condition</formula1>
    </dataValidation>
    <dataValidation type="decimal" allowBlank="1" showInputMessage="1" showErrorMessage="1" sqref="I2:J1000 C2:D1000">
      <formula1>0</formula1>
      <formula2>1000000</formula2>
    </dataValidation>
    <dataValidation type="list" allowBlank="1" showInputMessage="1" showErrorMessage="1" sqref="F2:F1000">
      <formula1>PP_PC</formula1>
    </dataValidation>
  </dataValidations>
  <hyperlinks>
    <hyperlink ref="AN1" r:id="rId1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Data'!$L$26:$L$27</xm:f>
          </x14:formula1>
          <xm:sqref>K2:K1000 G2:G1000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6"/>
  <sheetViews>
    <sheetView zoomScaleNormal="100" workbookViewId="0">
      <selection activeCell="F21" sqref="F21"/>
    </sheetView>
  </sheetViews>
  <sheetFormatPr defaultColWidth="9.109375" defaultRowHeight="15" x14ac:dyDescent="0.25"/>
  <cols>
    <col min="1" max="1" width="12.109375" style="18" customWidth="1"/>
    <col min="2" max="2" width="46" style="18" customWidth="1"/>
    <col min="3" max="3" width="32.5546875" style="18" customWidth="1"/>
    <col min="4" max="4" width="33.33203125" style="22" customWidth="1"/>
    <col min="5" max="5" width="27.5546875" style="18" customWidth="1"/>
    <col min="6" max="6" width="27.44140625" style="18" customWidth="1"/>
    <col min="7" max="7" width="31.109375" style="18" customWidth="1"/>
    <col min="8" max="8" width="38.5546875" style="18" customWidth="1"/>
    <col min="9" max="16384" width="9.109375" style="18"/>
  </cols>
  <sheetData>
    <row r="1" spans="1:9" s="20" customFormat="1" ht="47.1" customHeight="1" x14ac:dyDescent="0.25">
      <c r="A1" s="23" t="s">
        <v>1</v>
      </c>
      <c r="B1" s="23" t="s">
        <v>526</v>
      </c>
      <c r="C1" s="32" t="s">
        <v>8</v>
      </c>
      <c r="D1" s="23" t="s">
        <v>566</v>
      </c>
      <c r="E1" s="23" t="s">
        <v>533</v>
      </c>
      <c r="F1" s="32" t="s">
        <v>516</v>
      </c>
      <c r="G1" s="24" t="s">
        <v>565</v>
      </c>
      <c r="H1" s="23" t="s">
        <v>563</v>
      </c>
      <c r="I1" s="25"/>
    </row>
    <row r="2" spans="1:9" x14ac:dyDescent="0.25">
      <c r="A2" s="18">
        <v>1</v>
      </c>
      <c r="B2" s="18" t="s">
        <v>650</v>
      </c>
      <c r="C2" s="18" t="s">
        <v>646</v>
      </c>
      <c r="D2" s="22" t="s">
        <v>500</v>
      </c>
      <c r="E2" s="18" t="s">
        <v>503</v>
      </c>
      <c r="F2" s="18" t="b">
        <v>1</v>
      </c>
      <c r="G2" s="18" t="b">
        <v>0</v>
      </c>
    </row>
    <row r="3" spans="1:9" x14ac:dyDescent="0.25">
      <c r="A3" s="18">
        <v>2</v>
      </c>
      <c r="B3" s="18" t="s">
        <v>650</v>
      </c>
      <c r="C3" s="18" t="s">
        <v>644</v>
      </c>
      <c r="D3" s="22" t="s">
        <v>501</v>
      </c>
      <c r="E3" s="18" t="s">
        <v>503</v>
      </c>
      <c r="F3" s="18" t="b">
        <v>1</v>
      </c>
      <c r="G3" s="18" t="b">
        <v>0</v>
      </c>
    </row>
    <row r="4" spans="1:9" x14ac:dyDescent="0.25">
      <c r="A4" s="18">
        <v>3</v>
      </c>
      <c r="B4" s="18" t="s">
        <v>650</v>
      </c>
      <c r="C4" s="18" t="s">
        <v>646</v>
      </c>
      <c r="D4" s="22" t="s">
        <v>501</v>
      </c>
      <c r="E4" s="18" t="s">
        <v>503</v>
      </c>
      <c r="F4" s="18" t="b">
        <v>1</v>
      </c>
      <c r="G4" s="18" t="b">
        <v>0</v>
      </c>
    </row>
    <row r="5" spans="1:9" x14ac:dyDescent="0.25">
      <c r="A5" s="18">
        <v>4</v>
      </c>
      <c r="B5" s="18" t="s">
        <v>650</v>
      </c>
      <c r="C5" s="18" t="s">
        <v>646</v>
      </c>
      <c r="D5" s="22" t="s">
        <v>501</v>
      </c>
      <c r="E5" s="18" t="s">
        <v>504</v>
      </c>
      <c r="F5" s="18" t="b">
        <v>1</v>
      </c>
      <c r="G5" s="18" t="b">
        <v>0</v>
      </c>
    </row>
    <row r="6" spans="1:9" x14ac:dyDescent="0.25">
      <c r="A6" s="18">
        <v>5</v>
      </c>
      <c r="B6" s="18" t="s">
        <v>650</v>
      </c>
      <c r="C6" s="18" t="s">
        <v>646</v>
      </c>
      <c r="D6" s="22" t="s">
        <v>500</v>
      </c>
      <c r="E6" s="18" t="s">
        <v>504</v>
      </c>
      <c r="F6" s="18" t="b">
        <v>1</v>
      </c>
      <c r="G6" s="18" t="b">
        <v>0</v>
      </c>
    </row>
    <row r="7" spans="1:9" x14ac:dyDescent="0.25">
      <c r="A7" s="18">
        <v>6</v>
      </c>
      <c r="B7" s="18" t="s">
        <v>651</v>
      </c>
      <c r="C7" s="18" t="s">
        <v>646</v>
      </c>
      <c r="D7" s="22" t="s">
        <v>501</v>
      </c>
      <c r="E7" s="18" t="s">
        <v>504</v>
      </c>
      <c r="F7" s="18" t="b">
        <v>0</v>
      </c>
      <c r="G7" s="18" t="b">
        <v>1</v>
      </c>
    </row>
    <row r="8" spans="1:9" x14ac:dyDescent="0.25">
      <c r="A8" s="18">
        <v>7</v>
      </c>
      <c r="B8" s="18" t="s">
        <v>652</v>
      </c>
      <c r="C8" s="18" t="s">
        <v>575</v>
      </c>
      <c r="D8" s="22" t="s">
        <v>501</v>
      </c>
      <c r="E8" s="18" t="s">
        <v>504</v>
      </c>
      <c r="F8" s="18" t="b">
        <v>1</v>
      </c>
      <c r="G8" s="18" t="b">
        <v>0</v>
      </c>
    </row>
    <row r="9" spans="1:9" x14ac:dyDescent="0.25">
      <c r="A9" s="18">
        <v>8</v>
      </c>
      <c r="B9" s="18" t="s">
        <v>653</v>
      </c>
      <c r="C9" s="18" t="s">
        <v>646</v>
      </c>
      <c r="D9" s="22" t="s">
        <v>501</v>
      </c>
      <c r="E9" s="18" t="s">
        <v>504</v>
      </c>
      <c r="F9" s="18" t="b">
        <v>0</v>
      </c>
      <c r="G9" s="18" t="b">
        <v>1</v>
      </c>
    </row>
    <row r="10" spans="1:9" x14ac:dyDescent="0.25">
      <c r="A10" s="18">
        <v>9</v>
      </c>
      <c r="B10" s="18" t="s">
        <v>654</v>
      </c>
      <c r="C10" s="18" t="s">
        <v>575</v>
      </c>
      <c r="D10" s="22" t="s">
        <v>501</v>
      </c>
      <c r="E10" s="18" t="s">
        <v>503</v>
      </c>
      <c r="F10" s="18" t="b">
        <v>1</v>
      </c>
      <c r="G10" s="18" t="b">
        <v>0</v>
      </c>
    </row>
    <row r="11" spans="1:9" x14ac:dyDescent="0.25">
      <c r="A11" s="18">
        <v>10</v>
      </c>
      <c r="B11" s="18" t="s">
        <v>654</v>
      </c>
      <c r="C11" s="18" t="s">
        <v>635</v>
      </c>
      <c r="D11" s="22" t="s">
        <v>501</v>
      </c>
      <c r="E11" s="18" t="s">
        <v>503</v>
      </c>
      <c r="F11" s="18" t="b">
        <v>1</v>
      </c>
      <c r="G11" s="18" t="b">
        <v>0</v>
      </c>
    </row>
    <row r="12" spans="1:9" x14ac:dyDescent="0.25">
      <c r="A12" s="18">
        <v>11</v>
      </c>
      <c r="B12" s="18" t="s">
        <v>654</v>
      </c>
      <c r="C12" s="18" t="s">
        <v>645</v>
      </c>
      <c r="D12" s="22" t="s">
        <v>501</v>
      </c>
      <c r="E12" s="18" t="s">
        <v>503</v>
      </c>
      <c r="F12" s="18" t="b">
        <v>1</v>
      </c>
      <c r="G12" s="18" t="b">
        <v>0</v>
      </c>
    </row>
    <row r="13" spans="1:9" x14ac:dyDescent="0.25">
      <c r="A13" s="18">
        <v>12</v>
      </c>
      <c r="B13" s="18" t="s">
        <v>654</v>
      </c>
      <c r="C13" s="18" t="s">
        <v>644</v>
      </c>
      <c r="D13" s="22" t="s">
        <v>501</v>
      </c>
      <c r="E13" s="18" t="s">
        <v>503</v>
      </c>
      <c r="F13" s="18" t="b">
        <v>1</v>
      </c>
      <c r="G13" s="18" t="b">
        <v>0</v>
      </c>
    </row>
    <row r="14" spans="1:9" x14ac:dyDescent="0.25">
      <c r="A14" s="18">
        <v>13</v>
      </c>
      <c r="B14" s="18" t="s">
        <v>655</v>
      </c>
      <c r="C14" s="18" t="s">
        <v>575</v>
      </c>
      <c r="D14" s="22" t="s">
        <v>501</v>
      </c>
      <c r="E14" s="18" t="s">
        <v>504</v>
      </c>
      <c r="F14" s="18" t="b">
        <v>1</v>
      </c>
      <c r="G14" s="18" t="b">
        <v>0</v>
      </c>
    </row>
    <row r="15" spans="1:9" x14ac:dyDescent="0.25">
      <c r="A15" s="18">
        <v>14</v>
      </c>
      <c r="B15" s="18" t="s">
        <v>656</v>
      </c>
      <c r="C15" s="18" t="s">
        <v>575</v>
      </c>
      <c r="D15" s="22" t="s">
        <v>501</v>
      </c>
      <c r="E15" s="18" t="s">
        <v>504</v>
      </c>
      <c r="F15" s="18" t="b">
        <v>1</v>
      </c>
      <c r="G15" s="18" t="b">
        <v>0</v>
      </c>
    </row>
    <row r="16" spans="1:9" x14ac:dyDescent="0.25">
      <c r="A16" s="18">
        <v>15</v>
      </c>
      <c r="B16" s="18" t="s">
        <v>656</v>
      </c>
      <c r="C16" s="18" t="s">
        <v>644</v>
      </c>
      <c r="D16" s="22" t="s">
        <v>501</v>
      </c>
      <c r="E16" s="18" t="s">
        <v>504</v>
      </c>
      <c r="F16" s="18" t="b">
        <v>0</v>
      </c>
      <c r="G16" s="18" t="b">
        <v>0</v>
      </c>
    </row>
    <row r="17" spans="1:7" x14ac:dyDescent="0.25">
      <c r="A17" s="18">
        <v>16</v>
      </c>
      <c r="B17" s="18" t="s">
        <v>656</v>
      </c>
      <c r="C17" s="18" t="s">
        <v>635</v>
      </c>
      <c r="D17" s="22" t="s">
        <v>501</v>
      </c>
      <c r="E17" s="18" t="s">
        <v>504</v>
      </c>
      <c r="F17" s="18" t="b">
        <v>0</v>
      </c>
      <c r="G17" s="18" t="b">
        <v>0</v>
      </c>
    </row>
    <row r="18" spans="1:7" x14ac:dyDescent="0.25">
      <c r="A18" s="18">
        <v>17</v>
      </c>
      <c r="B18" s="18" t="s">
        <v>656</v>
      </c>
      <c r="C18" s="18" t="s">
        <v>645</v>
      </c>
      <c r="D18" s="22" t="s">
        <v>501</v>
      </c>
      <c r="E18" s="18" t="s">
        <v>504</v>
      </c>
      <c r="F18" s="18" t="b">
        <v>0</v>
      </c>
      <c r="G18" s="18" t="b">
        <v>0</v>
      </c>
    </row>
    <row r="19" spans="1:7" x14ac:dyDescent="0.25">
      <c r="A19" s="18">
        <v>18</v>
      </c>
      <c r="B19" s="18" t="s">
        <v>657</v>
      </c>
      <c r="C19" s="18" t="s">
        <v>635</v>
      </c>
      <c r="D19" s="22" t="s">
        <v>501</v>
      </c>
      <c r="E19" s="18" t="s">
        <v>503</v>
      </c>
      <c r="F19" s="18" t="b">
        <v>1</v>
      </c>
      <c r="G19" s="18" t="b">
        <v>0</v>
      </c>
    </row>
    <row r="20" spans="1:7" x14ac:dyDescent="0.25">
      <c r="A20" s="18">
        <v>19</v>
      </c>
      <c r="B20" s="18" t="s">
        <v>657</v>
      </c>
      <c r="C20" s="18" t="s">
        <v>645</v>
      </c>
      <c r="D20" s="22" t="s">
        <v>501</v>
      </c>
      <c r="E20" s="18" t="s">
        <v>503</v>
      </c>
      <c r="F20" s="18" t="b">
        <v>1</v>
      </c>
      <c r="G20" s="18" t="b">
        <v>0</v>
      </c>
    </row>
    <row r="21" spans="1:7" x14ac:dyDescent="0.25">
      <c r="A21" s="18">
        <v>20</v>
      </c>
      <c r="B21" s="18" t="s">
        <v>657</v>
      </c>
      <c r="C21" s="18" t="s">
        <v>575</v>
      </c>
      <c r="D21" s="22" t="s">
        <v>501</v>
      </c>
      <c r="E21" s="18" t="s">
        <v>503</v>
      </c>
      <c r="F21" s="18" t="b">
        <v>1</v>
      </c>
      <c r="G21" s="18" t="b">
        <v>0</v>
      </c>
    </row>
    <row r="22" spans="1:7" x14ac:dyDescent="0.25">
      <c r="A22" s="18">
        <v>21</v>
      </c>
      <c r="B22" s="18" t="s">
        <v>657</v>
      </c>
      <c r="C22" s="18" t="s">
        <v>644</v>
      </c>
      <c r="D22" s="22" t="s">
        <v>501</v>
      </c>
      <c r="E22" s="18" t="s">
        <v>503</v>
      </c>
      <c r="F22" s="18" t="b">
        <v>1</v>
      </c>
      <c r="G22" s="18" t="b">
        <v>0</v>
      </c>
    </row>
    <row r="23" spans="1:7" x14ac:dyDescent="0.25">
      <c r="A23" s="18">
        <v>22</v>
      </c>
      <c r="B23" s="18" t="s">
        <v>658</v>
      </c>
      <c r="C23" s="18" t="s">
        <v>635</v>
      </c>
      <c r="D23" s="22" t="s">
        <v>501</v>
      </c>
      <c r="E23" s="18" t="s">
        <v>503</v>
      </c>
      <c r="F23" s="18" t="b">
        <v>1</v>
      </c>
      <c r="G23" s="18" t="b">
        <v>0</v>
      </c>
    </row>
    <row r="24" spans="1:7" x14ac:dyDescent="0.25">
      <c r="A24" s="18">
        <v>23</v>
      </c>
      <c r="B24" s="18" t="s">
        <v>658</v>
      </c>
      <c r="C24" s="18" t="s">
        <v>645</v>
      </c>
      <c r="D24" s="22" t="s">
        <v>501</v>
      </c>
      <c r="E24" s="18" t="s">
        <v>503</v>
      </c>
      <c r="F24" s="18" t="b">
        <v>1</v>
      </c>
      <c r="G24" s="18" t="b">
        <v>0</v>
      </c>
    </row>
    <row r="25" spans="1:7" x14ac:dyDescent="0.25">
      <c r="A25" s="18">
        <v>24</v>
      </c>
      <c r="B25" s="18" t="s">
        <v>658</v>
      </c>
      <c r="C25" s="18" t="s">
        <v>644</v>
      </c>
      <c r="D25" s="22" t="s">
        <v>501</v>
      </c>
      <c r="E25" s="18" t="s">
        <v>503</v>
      </c>
      <c r="F25" s="18" t="b">
        <v>1</v>
      </c>
      <c r="G25" s="18" t="b">
        <v>0</v>
      </c>
    </row>
    <row r="26" spans="1:7" x14ac:dyDescent="0.25">
      <c r="A26" s="18">
        <v>25</v>
      </c>
      <c r="B26" s="18" t="s">
        <v>658</v>
      </c>
      <c r="C26" s="18" t="s">
        <v>575</v>
      </c>
      <c r="D26" s="22" t="s">
        <v>501</v>
      </c>
      <c r="E26" s="18" t="s">
        <v>503</v>
      </c>
      <c r="F26" s="18" t="b">
        <v>1</v>
      </c>
      <c r="G26" s="18" t="b">
        <v>0</v>
      </c>
    </row>
  </sheetData>
  <sheetProtection formatCells="0" formatRows="0" insertRows="0" insertHyperlinks="0" deleteRows="0" sort="0" autoFilter="0" pivotTables="0"/>
  <autoFilter ref="A1:H16"/>
  <dataValidations count="3">
    <dataValidation type="list" allowBlank="1" showInputMessage="1" showErrorMessage="1" sqref="C2:C1000">
      <formula1>condition</formula1>
    </dataValidation>
    <dataValidation type="list" allowBlank="1" showInputMessage="1" showErrorMessage="1" sqref="D2:D1000">
      <formula1>hinhThucVien</formula1>
    </dataValidation>
    <dataValidation type="list" allowBlank="1" showInputMessage="1" showErrorMessage="1" sqref="E2:E1000">
      <formula1>loaiChayCoi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Data'!$L$26:$L$27</xm:f>
          </x14:formula1>
          <xm:sqref>F2:G1000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00"/>
  <sheetViews>
    <sheetView workbookViewId="0">
      <selection activeCell="E36" sqref="E36"/>
    </sheetView>
  </sheetViews>
  <sheetFormatPr defaultColWidth="9.109375" defaultRowHeight="15" x14ac:dyDescent="0.25"/>
  <cols>
    <col min="1" max="1" width="11.6640625" style="18" customWidth="1"/>
    <col min="2" max="2" width="51" style="18" customWidth="1"/>
    <col min="3" max="3" width="22.109375" style="34" customWidth="1"/>
    <col min="4" max="4" width="21" style="34" customWidth="1"/>
    <col min="5" max="5" width="32.5546875" style="18" customWidth="1"/>
    <col min="6" max="6" width="27" style="22" customWidth="1"/>
    <col min="7" max="7" width="24.109375" style="22" customWidth="1"/>
    <col min="8" max="8" width="15" style="18" customWidth="1"/>
    <col min="9" max="9" width="44.109375" style="18" customWidth="1"/>
    <col min="10" max="16384" width="9.109375" style="18"/>
  </cols>
  <sheetData>
    <row r="1" spans="1:9" s="20" customFormat="1" ht="47.1" customHeight="1" x14ac:dyDescent="0.25">
      <c r="A1" s="24" t="s">
        <v>1</v>
      </c>
      <c r="B1" s="24" t="s">
        <v>526</v>
      </c>
      <c r="C1" s="35" t="s">
        <v>576</v>
      </c>
      <c r="D1" s="35" t="s">
        <v>577</v>
      </c>
      <c r="E1" s="32" t="s">
        <v>8</v>
      </c>
      <c r="F1" s="24" t="s">
        <v>512</v>
      </c>
      <c r="G1" s="24" t="s">
        <v>527</v>
      </c>
      <c r="H1" s="32" t="s">
        <v>516</v>
      </c>
      <c r="I1" s="24" t="s">
        <v>563</v>
      </c>
    </row>
    <row r="2" spans="1:9" x14ac:dyDescent="0.25">
      <c r="A2" s="18">
        <v>1</v>
      </c>
      <c r="B2" s="18" t="s">
        <v>664</v>
      </c>
      <c r="C2" s="22">
        <v>100000</v>
      </c>
      <c r="D2" s="22">
        <v>800000</v>
      </c>
      <c r="E2" s="18" t="s">
        <v>575</v>
      </c>
      <c r="F2" s="22" t="s">
        <v>514</v>
      </c>
      <c r="G2" s="22" t="s">
        <v>511</v>
      </c>
      <c r="H2" s="18" t="b">
        <v>0</v>
      </c>
    </row>
    <row r="3" spans="1:9" x14ac:dyDescent="0.25">
      <c r="A3" s="18">
        <v>2</v>
      </c>
      <c r="B3" s="18" t="s">
        <v>664</v>
      </c>
      <c r="C3" s="22">
        <v>100000</v>
      </c>
      <c r="D3" s="22">
        <v>800000</v>
      </c>
      <c r="E3" s="18" t="s">
        <v>575</v>
      </c>
      <c r="F3" s="22" t="s">
        <v>514</v>
      </c>
      <c r="G3" s="22" t="s">
        <v>510</v>
      </c>
      <c r="H3" s="18" t="b">
        <v>0</v>
      </c>
    </row>
    <row r="4" spans="1:9" x14ac:dyDescent="0.25">
      <c r="A4" s="18">
        <v>3</v>
      </c>
      <c r="B4" s="18" t="s">
        <v>664</v>
      </c>
      <c r="C4" s="22">
        <v>100000</v>
      </c>
      <c r="D4" s="22">
        <v>800000</v>
      </c>
      <c r="E4" s="18" t="s">
        <v>575</v>
      </c>
      <c r="F4" s="22" t="s">
        <v>514</v>
      </c>
      <c r="G4" s="22" t="s">
        <v>509</v>
      </c>
      <c r="H4" s="18" t="b">
        <v>0</v>
      </c>
    </row>
    <row r="5" spans="1:9" x14ac:dyDescent="0.25">
      <c r="A5" s="18">
        <v>4</v>
      </c>
      <c r="B5" s="18" t="s">
        <v>664</v>
      </c>
      <c r="C5" s="22">
        <v>100000</v>
      </c>
      <c r="D5" s="22">
        <v>800000</v>
      </c>
      <c r="E5" s="18" t="s">
        <v>575</v>
      </c>
      <c r="F5" s="22" t="s">
        <v>514</v>
      </c>
      <c r="G5" s="22" t="s">
        <v>508</v>
      </c>
      <c r="H5" s="18" t="b">
        <v>0</v>
      </c>
    </row>
    <row r="6" spans="1:9" x14ac:dyDescent="0.25">
      <c r="A6" s="18">
        <v>5</v>
      </c>
      <c r="B6" s="18" t="s">
        <v>664</v>
      </c>
      <c r="C6" s="22">
        <v>100000</v>
      </c>
      <c r="D6" s="22">
        <v>800000</v>
      </c>
      <c r="E6" s="18" t="s">
        <v>575</v>
      </c>
      <c r="F6" s="22" t="s">
        <v>514</v>
      </c>
      <c r="G6" s="22" t="s">
        <v>507</v>
      </c>
      <c r="H6" s="18" t="b">
        <v>0</v>
      </c>
    </row>
    <row r="7" spans="1:9" x14ac:dyDescent="0.25">
      <c r="A7" s="18">
        <v>6</v>
      </c>
      <c r="B7" s="18" t="s">
        <v>664</v>
      </c>
      <c r="C7" s="22">
        <v>100000</v>
      </c>
      <c r="D7" s="22">
        <v>800000</v>
      </c>
      <c r="E7" s="18" t="s">
        <v>575</v>
      </c>
      <c r="F7" s="22" t="s">
        <v>513</v>
      </c>
      <c r="G7" s="22" t="s">
        <v>511</v>
      </c>
      <c r="H7" s="18" t="b">
        <v>0</v>
      </c>
    </row>
    <row r="8" spans="1:9" x14ac:dyDescent="0.25">
      <c r="A8" s="18">
        <v>7</v>
      </c>
      <c r="B8" s="18" t="s">
        <v>664</v>
      </c>
      <c r="C8" s="22">
        <v>100000</v>
      </c>
      <c r="D8" s="22">
        <v>800000</v>
      </c>
      <c r="E8" s="18" t="s">
        <v>575</v>
      </c>
      <c r="F8" s="22" t="s">
        <v>513</v>
      </c>
      <c r="G8" s="22" t="s">
        <v>510</v>
      </c>
      <c r="H8" s="18" t="b">
        <v>0</v>
      </c>
    </row>
    <row r="9" spans="1:9" x14ac:dyDescent="0.25">
      <c r="A9" s="18">
        <v>8</v>
      </c>
      <c r="B9" s="18" t="s">
        <v>664</v>
      </c>
      <c r="C9" s="22">
        <v>100000</v>
      </c>
      <c r="D9" s="22">
        <v>800000</v>
      </c>
      <c r="E9" s="18" t="s">
        <v>575</v>
      </c>
      <c r="F9" s="22" t="s">
        <v>513</v>
      </c>
      <c r="G9" s="22" t="s">
        <v>509</v>
      </c>
      <c r="H9" s="18" t="b">
        <v>0</v>
      </c>
    </row>
    <row r="10" spans="1:9" x14ac:dyDescent="0.25">
      <c r="A10" s="18">
        <v>9</v>
      </c>
      <c r="B10" s="18" t="s">
        <v>664</v>
      </c>
      <c r="C10" s="22">
        <v>100000</v>
      </c>
      <c r="D10" s="22">
        <v>800000</v>
      </c>
      <c r="E10" s="18" t="s">
        <v>575</v>
      </c>
      <c r="F10" s="22" t="s">
        <v>513</v>
      </c>
      <c r="G10" s="22" t="s">
        <v>508</v>
      </c>
      <c r="H10" s="18" t="b">
        <v>0</v>
      </c>
    </row>
    <row r="11" spans="1:9" x14ac:dyDescent="0.25">
      <c r="A11" s="18">
        <v>10</v>
      </c>
      <c r="B11" s="18" t="s">
        <v>664</v>
      </c>
      <c r="C11" s="22">
        <v>100000</v>
      </c>
      <c r="D11" s="22">
        <v>800000</v>
      </c>
      <c r="E11" s="18" t="s">
        <v>575</v>
      </c>
      <c r="F11" s="22" t="s">
        <v>513</v>
      </c>
      <c r="G11" s="22" t="s">
        <v>507</v>
      </c>
      <c r="H11" s="18" t="b">
        <v>0</v>
      </c>
    </row>
    <row r="12" spans="1:9" x14ac:dyDescent="0.25">
      <c r="A12" s="18">
        <v>11</v>
      </c>
      <c r="B12" s="18" t="s">
        <v>665</v>
      </c>
      <c r="C12" s="22">
        <v>800000</v>
      </c>
      <c r="D12" s="22">
        <v>5000000</v>
      </c>
      <c r="E12" s="18" t="s">
        <v>575</v>
      </c>
      <c r="F12" s="22" t="s">
        <v>513</v>
      </c>
      <c r="G12" s="22" t="s">
        <v>511</v>
      </c>
      <c r="H12" s="18" t="b">
        <v>1</v>
      </c>
    </row>
    <row r="13" spans="1:9" x14ac:dyDescent="0.25">
      <c r="A13" s="18">
        <v>12</v>
      </c>
      <c r="B13" s="18" t="s">
        <v>665</v>
      </c>
      <c r="C13" s="22">
        <v>800000</v>
      </c>
      <c r="D13" s="22">
        <v>5000000</v>
      </c>
      <c r="E13" s="18" t="s">
        <v>575</v>
      </c>
      <c r="F13" s="22" t="s">
        <v>513</v>
      </c>
      <c r="G13" s="22" t="s">
        <v>510</v>
      </c>
      <c r="H13" s="18" t="b">
        <v>1</v>
      </c>
    </row>
    <row r="14" spans="1:9" x14ac:dyDescent="0.25">
      <c r="A14" s="18">
        <v>13</v>
      </c>
      <c r="B14" s="18" t="s">
        <v>665</v>
      </c>
      <c r="C14" s="22">
        <v>800000</v>
      </c>
      <c r="D14" s="22">
        <v>5000000</v>
      </c>
      <c r="E14" s="18" t="s">
        <v>575</v>
      </c>
      <c r="F14" s="22" t="s">
        <v>513</v>
      </c>
      <c r="G14" s="22" t="s">
        <v>508</v>
      </c>
      <c r="H14" s="18" t="b">
        <v>1</v>
      </c>
    </row>
    <row r="15" spans="1:9" x14ac:dyDescent="0.25">
      <c r="A15" s="18">
        <v>14</v>
      </c>
      <c r="B15" s="18" t="s">
        <v>665</v>
      </c>
      <c r="C15" s="22">
        <v>800000</v>
      </c>
      <c r="D15" s="22">
        <v>5000000</v>
      </c>
      <c r="E15" s="18" t="s">
        <v>575</v>
      </c>
      <c r="F15" s="22" t="s">
        <v>513</v>
      </c>
      <c r="G15" s="22" t="s">
        <v>507</v>
      </c>
      <c r="H15" s="18" t="b">
        <v>1</v>
      </c>
    </row>
    <row r="16" spans="1:9" x14ac:dyDescent="0.25">
      <c r="C16" s="22"/>
      <c r="D16" s="22"/>
    </row>
    <row r="17" spans="3:4" x14ac:dyDescent="0.25">
      <c r="C17" s="22"/>
      <c r="D17" s="22"/>
    </row>
    <row r="18" spans="3:4" x14ac:dyDescent="0.25">
      <c r="C18" s="22"/>
      <c r="D18" s="22"/>
    </row>
    <row r="19" spans="3:4" x14ac:dyDescent="0.25">
      <c r="C19" s="22"/>
      <c r="D19" s="22"/>
    </row>
    <row r="20" spans="3:4" x14ac:dyDescent="0.25">
      <c r="C20" s="22"/>
      <c r="D20" s="22"/>
    </row>
    <row r="21" spans="3:4" x14ac:dyDescent="0.25">
      <c r="C21" s="22"/>
      <c r="D21" s="22"/>
    </row>
    <row r="22" spans="3:4" x14ac:dyDescent="0.25">
      <c r="C22" s="22"/>
      <c r="D22" s="22"/>
    </row>
    <row r="23" spans="3:4" x14ac:dyDescent="0.25">
      <c r="C23" s="22"/>
      <c r="D23" s="22"/>
    </row>
    <row r="24" spans="3:4" x14ac:dyDescent="0.25">
      <c r="C24" s="22"/>
      <c r="D24" s="22"/>
    </row>
    <row r="25" spans="3:4" x14ac:dyDescent="0.25">
      <c r="C25" s="22"/>
      <c r="D25" s="22"/>
    </row>
    <row r="26" spans="3:4" x14ac:dyDescent="0.25">
      <c r="C26" s="22"/>
      <c r="D26" s="22"/>
    </row>
    <row r="27" spans="3:4" x14ac:dyDescent="0.25">
      <c r="C27" s="22"/>
      <c r="D27" s="22"/>
    </row>
    <row r="28" spans="3:4" x14ac:dyDescent="0.25">
      <c r="C28" s="22"/>
      <c r="D28" s="22"/>
    </row>
    <row r="29" spans="3:4" x14ac:dyDescent="0.25">
      <c r="C29" s="22"/>
      <c r="D29" s="22"/>
    </row>
    <row r="30" spans="3:4" x14ac:dyDescent="0.25">
      <c r="C30" s="22"/>
      <c r="D30" s="22"/>
    </row>
    <row r="31" spans="3:4" x14ac:dyDescent="0.25">
      <c r="C31" s="22"/>
      <c r="D31" s="22"/>
    </row>
    <row r="32" spans="3:4" x14ac:dyDescent="0.25">
      <c r="C32" s="22"/>
      <c r="D32" s="22"/>
    </row>
    <row r="33" spans="3:4" x14ac:dyDescent="0.25">
      <c r="C33" s="22"/>
      <c r="D33" s="22"/>
    </row>
    <row r="34" spans="3:4" x14ac:dyDescent="0.25">
      <c r="C34" s="22"/>
      <c r="D34" s="22"/>
    </row>
    <row r="35" spans="3:4" x14ac:dyDescent="0.25">
      <c r="C35" s="22"/>
      <c r="D35" s="22"/>
    </row>
    <row r="36" spans="3:4" x14ac:dyDescent="0.25">
      <c r="C36" s="22"/>
      <c r="D36" s="22"/>
    </row>
    <row r="37" spans="3:4" x14ac:dyDescent="0.25">
      <c r="C37" s="22"/>
      <c r="D37" s="22"/>
    </row>
    <row r="38" spans="3:4" x14ac:dyDescent="0.25">
      <c r="C38" s="22"/>
      <c r="D38" s="22"/>
    </row>
    <row r="39" spans="3:4" x14ac:dyDescent="0.25">
      <c r="C39" s="22"/>
      <c r="D39" s="22"/>
    </row>
    <row r="40" spans="3:4" x14ac:dyDescent="0.25">
      <c r="C40" s="22"/>
      <c r="D40" s="22"/>
    </row>
    <row r="41" spans="3:4" x14ac:dyDescent="0.25">
      <c r="C41" s="22"/>
      <c r="D41" s="22"/>
    </row>
    <row r="42" spans="3:4" x14ac:dyDescent="0.25">
      <c r="C42" s="22"/>
      <c r="D42" s="22"/>
    </row>
    <row r="43" spans="3:4" x14ac:dyDescent="0.25">
      <c r="C43" s="22"/>
      <c r="D43" s="22"/>
    </row>
    <row r="44" spans="3:4" x14ac:dyDescent="0.25">
      <c r="C44" s="22"/>
      <c r="D44" s="22"/>
    </row>
    <row r="45" spans="3:4" x14ac:dyDescent="0.25">
      <c r="C45" s="22"/>
      <c r="D45" s="22"/>
    </row>
    <row r="46" spans="3:4" x14ac:dyDescent="0.25">
      <c r="C46" s="22"/>
      <c r="D46" s="22"/>
    </row>
    <row r="47" spans="3:4" x14ac:dyDescent="0.25">
      <c r="C47" s="22"/>
      <c r="D47" s="22"/>
    </row>
    <row r="48" spans="3:4" x14ac:dyDescent="0.25">
      <c r="C48" s="22"/>
      <c r="D48" s="22"/>
    </row>
    <row r="49" spans="3:4" x14ac:dyDescent="0.25">
      <c r="C49" s="22"/>
      <c r="D49" s="22"/>
    </row>
    <row r="50" spans="3:4" x14ac:dyDescent="0.25">
      <c r="C50" s="22"/>
      <c r="D50" s="22"/>
    </row>
    <row r="51" spans="3:4" x14ac:dyDescent="0.25">
      <c r="C51" s="22"/>
      <c r="D51" s="22"/>
    </row>
    <row r="52" spans="3:4" x14ac:dyDescent="0.25">
      <c r="C52" s="22"/>
      <c r="D52" s="22"/>
    </row>
    <row r="53" spans="3:4" x14ac:dyDescent="0.25">
      <c r="C53" s="22"/>
      <c r="D53" s="22"/>
    </row>
    <row r="54" spans="3:4" x14ac:dyDescent="0.25">
      <c r="C54" s="22"/>
      <c r="D54" s="22"/>
    </row>
    <row r="55" spans="3:4" x14ac:dyDescent="0.25">
      <c r="C55" s="22"/>
      <c r="D55" s="22"/>
    </row>
    <row r="56" spans="3:4" x14ac:dyDescent="0.25">
      <c r="C56" s="22"/>
      <c r="D56" s="22"/>
    </row>
    <row r="57" spans="3:4" x14ac:dyDescent="0.25">
      <c r="C57" s="22"/>
      <c r="D57" s="22"/>
    </row>
    <row r="58" spans="3:4" x14ac:dyDescent="0.25">
      <c r="C58" s="22"/>
      <c r="D58" s="22"/>
    </row>
    <row r="59" spans="3:4" x14ac:dyDescent="0.25">
      <c r="C59" s="22"/>
      <c r="D59" s="22"/>
    </row>
    <row r="60" spans="3:4" x14ac:dyDescent="0.25">
      <c r="C60" s="22"/>
      <c r="D60" s="22"/>
    </row>
    <row r="61" spans="3:4" x14ac:dyDescent="0.25">
      <c r="C61" s="22"/>
      <c r="D61" s="22"/>
    </row>
    <row r="62" spans="3:4" x14ac:dyDescent="0.25">
      <c r="C62" s="22"/>
      <c r="D62" s="22"/>
    </row>
    <row r="63" spans="3:4" x14ac:dyDescent="0.25">
      <c r="C63" s="22"/>
      <c r="D63" s="22"/>
    </row>
    <row r="64" spans="3:4" x14ac:dyDescent="0.25">
      <c r="C64" s="22"/>
      <c r="D64" s="22"/>
    </row>
    <row r="65" spans="3:4" x14ac:dyDescent="0.25">
      <c r="C65" s="22"/>
      <c r="D65" s="22"/>
    </row>
    <row r="66" spans="3:4" x14ac:dyDescent="0.25">
      <c r="C66" s="22"/>
      <c r="D66" s="22"/>
    </row>
    <row r="67" spans="3:4" x14ac:dyDescent="0.25">
      <c r="C67" s="22"/>
      <c r="D67" s="22"/>
    </row>
    <row r="68" spans="3:4" x14ac:dyDescent="0.25">
      <c r="C68" s="22"/>
      <c r="D68" s="22"/>
    </row>
    <row r="69" spans="3:4" x14ac:dyDescent="0.25">
      <c r="C69" s="22"/>
      <c r="D69" s="22"/>
    </row>
    <row r="70" spans="3:4" x14ac:dyDescent="0.25">
      <c r="C70" s="22"/>
      <c r="D70" s="22"/>
    </row>
    <row r="71" spans="3:4" x14ac:dyDescent="0.25">
      <c r="C71" s="22"/>
      <c r="D71" s="22"/>
    </row>
    <row r="72" spans="3:4" x14ac:dyDescent="0.25">
      <c r="C72" s="22"/>
      <c r="D72" s="22"/>
    </row>
    <row r="73" spans="3:4" x14ac:dyDescent="0.25">
      <c r="C73" s="22"/>
      <c r="D73" s="22"/>
    </row>
    <row r="74" spans="3:4" x14ac:dyDescent="0.25">
      <c r="C74" s="22"/>
      <c r="D74" s="22"/>
    </row>
    <row r="75" spans="3:4" x14ac:dyDescent="0.25">
      <c r="C75" s="22"/>
      <c r="D75" s="22"/>
    </row>
    <row r="76" spans="3:4" x14ac:dyDescent="0.25">
      <c r="C76" s="22"/>
      <c r="D76" s="22"/>
    </row>
    <row r="77" spans="3:4" x14ac:dyDescent="0.25">
      <c r="C77" s="22"/>
      <c r="D77" s="22"/>
    </row>
    <row r="78" spans="3:4" x14ac:dyDescent="0.25">
      <c r="C78" s="22"/>
      <c r="D78" s="22"/>
    </row>
    <row r="79" spans="3:4" x14ac:dyDescent="0.25">
      <c r="C79" s="22"/>
      <c r="D79" s="22"/>
    </row>
    <row r="80" spans="3:4" x14ac:dyDescent="0.25">
      <c r="C80" s="22"/>
      <c r="D80" s="22"/>
    </row>
    <row r="81" spans="3:4" x14ac:dyDescent="0.25">
      <c r="C81" s="22"/>
      <c r="D81" s="22"/>
    </row>
    <row r="82" spans="3:4" x14ac:dyDescent="0.25">
      <c r="C82" s="22"/>
      <c r="D82" s="22"/>
    </row>
    <row r="83" spans="3:4" x14ac:dyDescent="0.25">
      <c r="C83" s="22"/>
      <c r="D83" s="22"/>
    </row>
    <row r="84" spans="3:4" x14ac:dyDescent="0.25">
      <c r="C84" s="22"/>
      <c r="D84" s="22"/>
    </row>
    <row r="85" spans="3:4" x14ac:dyDescent="0.25">
      <c r="C85" s="22"/>
      <c r="D85" s="22"/>
    </row>
    <row r="86" spans="3:4" x14ac:dyDescent="0.25">
      <c r="C86" s="22"/>
      <c r="D86" s="22"/>
    </row>
    <row r="87" spans="3:4" x14ac:dyDescent="0.25">
      <c r="C87" s="22"/>
      <c r="D87" s="22"/>
    </row>
    <row r="88" spans="3:4" x14ac:dyDescent="0.25">
      <c r="C88" s="22"/>
      <c r="D88" s="22"/>
    </row>
    <row r="89" spans="3:4" x14ac:dyDescent="0.25">
      <c r="C89" s="22"/>
      <c r="D89" s="22"/>
    </row>
    <row r="90" spans="3:4" x14ac:dyDescent="0.25">
      <c r="C90" s="22"/>
      <c r="D90" s="22"/>
    </row>
    <row r="91" spans="3:4" x14ac:dyDescent="0.25">
      <c r="C91" s="22"/>
      <c r="D91" s="22"/>
    </row>
    <row r="92" spans="3:4" x14ac:dyDescent="0.25">
      <c r="C92" s="22"/>
      <c r="D92" s="22"/>
    </row>
    <row r="93" spans="3:4" x14ac:dyDescent="0.25">
      <c r="C93" s="22"/>
      <c r="D93" s="22"/>
    </row>
    <row r="94" spans="3:4" x14ac:dyDescent="0.25">
      <c r="C94" s="22"/>
      <c r="D94" s="22"/>
    </row>
    <row r="95" spans="3:4" x14ac:dyDescent="0.25">
      <c r="C95" s="22"/>
      <c r="D95" s="22"/>
    </row>
    <row r="96" spans="3:4" x14ac:dyDescent="0.25">
      <c r="C96" s="22"/>
      <c r="D96" s="22"/>
    </row>
    <row r="97" spans="3:4" x14ac:dyDescent="0.25">
      <c r="C97" s="22"/>
      <c r="D97" s="22"/>
    </row>
    <row r="98" spans="3:4" x14ac:dyDescent="0.25">
      <c r="C98" s="22"/>
      <c r="D98" s="22"/>
    </row>
    <row r="99" spans="3:4" x14ac:dyDescent="0.25">
      <c r="C99" s="22"/>
      <c r="D99" s="22"/>
    </row>
    <row r="100" spans="3:4" x14ac:dyDescent="0.25">
      <c r="C100" s="22"/>
      <c r="D100" s="22"/>
    </row>
    <row r="101" spans="3:4" x14ac:dyDescent="0.25">
      <c r="C101" s="22"/>
      <c r="D101" s="22"/>
    </row>
    <row r="102" spans="3:4" x14ac:dyDescent="0.25">
      <c r="C102" s="22"/>
      <c r="D102" s="22"/>
    </row>
    <row r="103" spans="3:4" x14ac:dyDescent="0.25">
      <c r="C103" s="22"/>
      <c r="D103" s="22"/>
    </row>
    <row r="104" spans="3:4" x14ac:dyDescent="0.25">
      <c r="C104" s="22"/>
      <c r="D104" s="22"/>
    </row>
    <row r="105" spans="3:4" x14ac:dyDescent="0.25">
      <c r="C105" s="22"/>
      <c r="D105" s="22"/>
    </row>
    <row r="106" spans="3:4" x14ac:dyDescent="0.25">
      <c r="C106" s="22"/>
      <c r="D106" s="22"/>
    </row>
    <row r="107" spans="3:4" x14ac:dyDescent="0.25">
      <c r="C107" s="22"/>
      <c r="D107" s="22"/>
    </row>
    <row r="108" spans="3:4" x14ac:dyDescent="0.25">
      <c r="C108" s="22"/>
      <c r="D108" s="22"/>
    </row>
    <row r="109" spans="3:4" x14ac:dyDescent="0.25">
      <c r="C109" s="22"/>
      <c r="D109" s="22"/>
    </row>
    <row r="110" spans="3:4" x14ac:dyDescent="0.25">
      <c r="C110" s="22"/>
      <c r="D110" s="22"/>
    </row>
    <row r="111" spans="3:4" x14ac:dyDescent="0.25">
      <c r="C111" s="22"/>
      <c r="D111" s="22"/>
    </row>
    <row r="112" spans="3:4" x14ac:dyDescent="0.25">
      <c r="C112" s="22"/>
      <c r="D112" s="22"/>
    </row>
    <row r="113" spans="3:4" x14ac:dyDescent="0.25">
      <c r="C113" s="22"/>
      <c r="D113" s="22"/>
    </row>
    <row r="114" spans="3:4" x14ac:dyDescent="0.25">
      <c r="C114" s="22"/>
      <c r="D114" s="22"/>
    </row>
    <row r="115" spans="3:4" x14ac:dyDescent="0.25">
      <c r="C115" s="22"/>
      <c r="D115" s="22"/>
    </row>
    <row r="116" spans="3:4" x14ac:dyDescent="0.25">
      <c r="C116" s="22"/>
      <c r="D116" s="22"/>
    </row>
    <row r="117" spans="3:4" x14ac:dyDescent="0.25">
      <c r="C117" s="22"/>
      <c r="D117" s="22"/>
    </row>
    <row r="118" spans="3:4" x14ac:dyDescent="0.25">
      <c r="C118" s="22"/>
      <c r="D118" s="22"/>
    </row>
    <row r="119" spans="3:4" x14ac:dyDescent="0.25">
      <c r="C119" s="22"/>
      <c r="D119" s="22"/>
    </row>
    <row r="120" spans="3:4" x14ac:dyDescent="0.25">
      <c r="C120" s="22"/>
      <c r="D120" s="22"/>
    </row>
    <row r="121" spans="3:4" x14ac:dyDescent="0.25">
      <c r="C121" s="22"/>
      <c r="D121" s="22"/>
    </row>
    <row r="122" spans="3:4" x14ac:dyDescent="0.25">
      <c r="C122" s="22"/>
      <c r="D122" s="22"/>
    </row>
    <row r="123" spans="3:4" x14ac:dyDescent="0.25">
      <c r="C123" s="22"/>
      <c r="D123" s="22"/>
    </row>
    <row r="124" spans="3:4" x14ac:dyDescent="0.25">
      <c r="C124" s="22"/>
      <c r="D124" s="22"/>
    </row>
    <row r="125" spans="3:4" x14ac:dyDescent="0.25">
      <c r="C125" s="22"/>
      <c r="D125" s="22"/>
    </row>
    <row r="126" spans="3:4" x14ac:dyDescent="0.25">
      <c r="C126" s="22"/>
      <c r="D126" s="22"/>
    </row>
    <row r="127" spans="3:4" x14ac:dyDescent="0.25">
      <c r="C127" s="22"/>
      <c r="D127" s="22"/>
    </row>
    <row r="128" spans="3:4" x14ac:dyDescent="0.25">
      <c r="C128" s="22"/>
      <c r="D128" s="22"/>
    </row>
    <row r="129" spans="3:4" x14ac:dyDescent="0.25">
      <c r="C129" s="22"/>
      <c r="D129" s="22"/>
    </row>
    <row r="130" spans="3:4" x14ac:dyDescent="0.25">
      <c r="C130" s="22"/>
      <c r="D130" s="22"/>
    </row>
    <row r="131" spans="3:4" x14ac:dyDescent="0.25">
      <c r="C131" s="22"/>
      <c r="D131" s="22"/>
    </row>
    <row r="132" spans="3:4" x14ac:dyDescent="0.25">
      <c r="C132" s="22"/>
      <c r="D132" s="22"/>
    </row>
    <row r="133" spans="3:4" x14ac:dyDescent="0.25">
      <c r="C133" s="22"/>
      <c r="D133" s="22"/>
    </row>
    <row r="134" spans="3:4" x14ac:dyDescent="0.25">
      <c r="C134" s="22"/>
      <c r="D134" s="22"/>
    </row>
    <row r="135" spans="3:4" x14ac:dyDescent="0.25">
      <c r="C135" s="22"/>
      <c r="D135" s="22"/>
    </row>
    <row r="136" spans="3:4" x14ac:dyDescent="0.25">
      <c r="C136" s="22"/>
      <c r="D136" s="22"/>
    </row>
    <row r="137" spans="3:4" x14ac:dyDescent="0.25">
      <c r="C137" s="22"/>
      <c r="D137" s="22"/>
    </row>
    <row r="138" spans="3:4" x14ac:dyDescent="0.25">
      <c r="C138" s="22"/>
      <c r="D138" s="22"/>
    </row>
    <row r="139" spans="3:4" x14ac:dyDescent="0.25">
      <c r="C139" s="22"/>
      <c r="D139" s="22"/>
    </row>
    <row r="140" spans="3:4" x14ac:dyDescent="0.25">
      <c r="C140" s="22"/>
      <c r="D140" s="22"/>
    </row>
    <row r="141" spans="3:4" x14ac:dyDescent="0.25">
      <c r="C141" s="22"/>
      <c r="D141" s="22"/>
    </row>
    <row r="142" spans="3:4" x14ac:dyDescent="0.25">
      <c r="C142" s="22"/>
      <c r="D142" s="22"/>
    </row>
    <row r="143" spans="3:4" x14ac:dyDescent="0.25">
      <c r="C143" s="22"/>
      <c r="D143" s="22"/>
    </row>
    <row r="144" spans="3:4" x14ac:dyDescent="0.25">
      <c r="C144" s="22"/>
      <c r="D144" s="22"/>
    </row>
    <row r="145" spans="3:4" x14ac:dyDescent="0.25">
      <c r="C145" s="22"/>
      <c r="D145" s="22"/>
    </row>
    <row r="146" spans="3:4" x14ac:dyDescent="0.25">
      <c r="C146" s="22"/>
      <c r="D146" s="22"/>
    </row>
    <row r="147" spans="3:4" x14ac:dyDescent="0.25">
      <c r="C147" s="22"/>
      <c r="D147" s="22"/>
    </row>
    <row r="148" spans="3:4" x14ac:dyDescent="0.25">
      <c r="C148" s="22"/>
      <c r="D148" s="22"/>
    </row>
    <row r="149" spans="3:4" x14ac:dyDescent="0.25">
      <c r="C149" s="22"/>
      <c r="D149" s="22"/>
    </row>
    <row r="150" spans="3:4" x14ac:dyDescent="0.25">
      <c r="C150" s="22"/>
      <c r="D150" s="22"/>
    </row>
    <row r="151" spans="3:4" x14ac:dyDescent="0.25">
      <c r="C151" s="22"/>
      <c r="D151" s="22"/>
    </row>
    <row r="152" spans="3:4" x14ac:dyDescent="0.25">
      <c r="C152" s="22"/>
      <c r="D152" s="22"/>
    </row>
    <row r="153" spans="3:4" x14ac:dyDescent="0.25">
      <c r="C153" s="22"/>
      <c r="D153" s="22"/>
    </row>
    <row r="154" spans="3:4" x14ac:dyDescent="0.25">
      <c r="C154" s="22"/>
      <c r="D154" s="22"/>
    </row>
    <row r="155" spans="3:4" x14ac:dyDescent="0.25">
      <c r="C155" s="22"/>
      <c r="D155" s="22"/>
    </row>
    <row r="156" spans="3:4" x14ac:dyDescent="0.25">
      <c r="C156" s="22"/>
      <c r="D156" s="22"/>
    </row>
    <row r="157" spans="3:4" x14ac:dyDescent="0.25">
      <c r="C157" s="22"/>
      <c r="D157" s="22"/>
    </row>
    <row r="158" spans="3:4" x14ac:dyDescent="0.25">
      <c r="C158" s="22"/>
      <c r="D158" s="22"/>
    </row>
    <row r="159" spans="3:4" x14ac:dyDescent="0.25">
      <c r="C159" s="22"/>
      <c r="D159" s="22"/>
    </row>
    <row r="160" spans="3:4" x14ac:dyDescent="0.25">
      <c r="C160" s="22"/>
      <c r="D160" s="22"/>
    </row>
    <row r="161" spans="3:4" x14ac:dyDescent="0.25">
      <c r="C161" s="22"/>
      <c r="D161" s="22"/>
    </row>
    <row r="162" spans="3:4" x14ac:dyDescent="0.25">
      <c r="C162" s="22"/>
      <c r="D162" s="22"/>
    </row>
    <row r="163" spans="3:4" x14ac:dyDescent="0.25">
      <c r="C163" s="22"/>
      <c r="D163" s="22"/>
    </row>
    <row r="164" spans="3:4" x14ac:dyDescent="0.25">
      <c r="C164" s="22"/>
      <c r="D164" s="22"/>
    </row>
    <row r="165" spans="3:4" x14ac:dyDescent="0.25">
      <c r="C165" s="22"/>
      <c r="D165" s="22"/>
    </row>
    <row r="166" spans="3:4" x14ac:dyDescent="0.25">
      <c r="C166" s="22"/>
      <c r="D166" s="22"/>
    </row>
    <row r="167" spans="3:4" x14ac:dyDescent="0.25">
      <c r="C167" s="22"/>
      <c r="D167" s="22"/>
    </row>
    <row r="168" spans="3:4" x14ac:dyDescent="0.25">
      <c r="C168" s="22"/>
      <c r="D168" s="22"/>
    </row>
    <row r="169" spans="3:4" x14ac:dyDescent="0.25">
      <c r="C169" s="22"/>
      <c r="D169" s="22"/>
    </row>
    <row r="170" spans="3:4" x14ac:dyDescent="0.25">
      <c r="C170" s="22"/>
      <c r="D170" s="22"/>
    </row>
    <row r="171" spans="3:4" x14ac:dyDescent="0.25">
      <c r="C171" s="22"/>
      <c r="D171" s="22"/>
    </row>
    <row r="172" spans="3:4" x14ac:dyDescent="0.25">
      <c r="C172" s="22"/>
      <c r="D172" s="22"/>
    </row>
    <row r="173" spans="3:4" x14ac:dyDescent="0.25">
      <c r="C173" s="22"/>
      <c r="D173" s="22"/>
    </row>
    <row r="174" spans="3:4" x14ac:dyDescent="0.25">
      <c r="C174" s="22"/>
      <c r="D174" s="22"/>
    </row>
    <row r="175" spans="3:4" x14ac:dyDescent="0.25">
      <c r="C175" s="22"/>
      <c r="D175" s="22"/>
    </row>
    <row r="176" spans="3:4" x14ac:dyDescent="0.25">
      <c r="C176" s="22"/>
      <c r="D176" s="22"/>
    </row>
    <row r="177" spans="3:4" x14ac:dyDescent="0.25">
      <c r="C177" s="22"/>
      <c r="D177" s="22"/>
    </row>
    <row r="178" spans="3:4" x14ac:dyDescent="0.25">
      <c r="C178" s="22"/>
      <c r="D178" s="22"/>
    </row>
    <row r="179" spans="3:4" x14ac:dyDescent="0.25">
      <c r="C179" s="22"/>
      <c r="D179" s="22"/>
    </row>
    <row r="180" spans="3:4" x14ac:dyDescent="0.25">
      <c r="C180" s="22"/>
      <c r="D180" s="22"/>
    </row>
    <row r="181" spans="3:4" x14ac:dyDescent="0.25">
      <c r="C181" s="22"/>
      <c r="D181" s="22"/>
    </row>
    <row r="182" spans="3:4" x14ac:dyDescent="0.25">
      <c r="C182" s="22"/>
      <c r="D182" s="22"/>
    </row>
    <row r="183" spans="3:4" x14ac:dyDescent="0.25">
      <c r="C183" s="22"/>
      <c r="D183" s="22"/>
    </row>
    <row r="184" spans="3:4" x14ac:dyDescent="0.25">
      <c r="C184" s="22"/>
      <c r="D184" s="22"/>
    </row>
    <row r="185" spans="3:4" x14ac:dyDescent="0.25">
      <c r="C185" s="22"/>
      <c r="D185" s="22"/>
    </row>
    <row r="186" spans="3:4" x14ac:dyDescent="0.25">
      <c r="C186" s="22"/>
      <c r="D186" s="22"/>
    </row>
    <row r="187" spans="3:4" x14ac:dyDescent="0.25">
      <c r="C187" s="22"/>
      <c r="D187" s="22"/>
    </row>
    <row r="188" spans="3:4" x14ac:dyDescent="0.25">
      <c r="C188" s="22"/>
      <c r="D188" s="22"/>
    </row>
    <row r="189" spans="3:4" x14ac:dyDescent="0.25">
      <c r="C189" s="22"/>
      <c r="D189" s="22"/>
    </row>
    <row r="190" spans="3:4" x14ac:dyDescent="0.25">
      <c r="C190" s="22"/>
      <c r="D190" s="22"/>
    </row>
    <row r="191" spans="3:4" x14ac:dyDescent="0.25">
      <c r="C191" s="22"/>
      <c r="D191" s="22"/>
    </row>
    <row r="192" spans="3:4" x14ac:dyDescent="0.25">
      <c r="C192" s="22"/>
      <c r="D192" s="22"/>
    </row>
    <row r="193" spans="3:4" x14ac:dyDescent="0.25">
      <c r="C193" s="22"/>
      <c r="D193" s="22"/>
    </row>
    <row r="194" spans="3:4" x14ac:dyDescent="0.25">
      <c r="C194" s="22"/>
      <c r="D194" s="22"/>
    </row>
    <row r="195" spans="3:4" x14ac:dyDescent="0.25">
      <c r="C195" s="22"/>
      <c r="D195" s="22"/>
    </row>
    <row r="196" spans="3:4" x14ac:dyDescent="0.25">
      <c r="C196" s="22"/>
      <c r="D196" s="22"/>
    </row>
    <row r="197" spans="3:4" x14ac:dyDescent="0.25">
      <c r="C197" s="22"/>
      <c r="D197" s="22"/>
    </row>
    <row r="198" spans="3:4" x14ac:dyDescent="0.25">
      <c r="C198" s="22"/>
      <c r="D198" s="22"/>
    </row>
    <row r="199" spans="3:4" x14ac:dyDescent="0.25">
      <c r="C199" s="22"/>
      <c r="D199" s="22"/>
    </row>
    <row r="200" spans="3:4" x14ac:dyDescent="0.25">
      <c r="C200" s="22"/>
      <c r="D200" s="22"/>
    </row>
    <row r="201" spans="3:4" x14ac:dyDescent="0.25">
      <c r="C201" s="22"/>
      <c r="D201" s="22"/>
    </row>
    <row r="202" spans="3:4" x14ac:dyDescent="0.25">
      <c r="C202" s="22"/>
      <c r="D202" s="22"/>
    </row>
    <row r="203" spans="3:4" x14ac:dyDescent="0.25">
      <c r="C203" s="22"/>
      <c r="D203" s="22"/>
    </row>
    <row r="204" spans="3:4" x14ac:dyDescent="0.25">
      <c r="C204" s="22"/>
      <c r="D204" s="22"/>
    </row>
    <row r="205" spans="3:4" x14ac:dyDescent="0.25">
      <c r="C205" s="22"/>
      <c r="D205" s="22"/>
    </row>
    <row r="206" spans="3:4" x14ac:dyDescent="0.25">
      <c r="C206" s="22"/>
      <c r="D206" s="22"/>
    </row>
    <row r="207" spans="3:4" x14ac:dyDescent="0.25">
      <c r="C207" s="22"/>
      <c r="D207" s="22"/>
    </row>
    <row r="208" spans="3:4" x14ac:dyDescent="0.25">
      <c r="C208" s="22"/>
      <c r="D208" s="22"/>
    </row>
    <row r="209" spans="3:4" x14ac:dyDescent="0.25">
      <c r="C209" s="22"/>
      <c r="D209" s="22"/>
    </row>
    <row r="210" spans="3:4" x14ac:dyDescent="0.25">
      <c r="C210" s="22"/>
      <c r="D210" s="22"/>
    </row>
    <row r="211" spans="3:4" x14ac:dyDescent="0.25">
      <c r="C211" s="22"/>
      <c r="D211" s="22"/>
    </row>
    <row r="212" spans="3:4" x14ac:dyDescent="0.25">
      <c r="C212" s="22"/>
      <c r="D212" s="22"/>
    </row>
    <row r="213" spans="3:4" x14ac:dyDescent="0.25">
      <c r="C213" s="22"/>
      <c r="D213" s="22"/>
    </row>
    <row r="214" spans="3:4" x14ac:dyDescent="0.25">
      <c r="C214" s="22"/>
      <c r="D214" s="22"/>
    </row>
    <row r="215" spans="3:4" x14ac:dyDescent="0.25">
      <c r="C215" s="22"/>
      <c r="D215" s="22"/>
    </row>
    <row r="216" spans="3:4" x14ac:dyDescent="0.25">
      <c r="C216" s="22"/>
      <c r="D216" s="22"/>
    </row>
    <row r="217" spans="3:4" x14ac:dyDescent="0.25">
      <c r="C217" s="22"/>
      <c r="D217" s="22"/>
    </row>
    <row r="218" spans="3:4" x14ac:dyDescent="0.25">
      <c r="C218" s="22"/>
      <c r="D218" s="22"/>
    </row>
    <row r="219" spans="3:4" x14ac:dyDescent="0.25">
      <c r="C219" s="22"/>
      <c r="D219" s="22"/>
    </row>
    <row r="220" spans="3:4" x14ac:dyDescent="0.25">
      <c r="C220" s="22"/>
      <c r="D220" s="22"/>
    </row>
    <row r="221" spans="3:4" x14ac:dyDescent="0.25">
      <c r="C221" s="22"/>
      <c r="D221" s="22"/>
    </row>
    <row r="222" spans="3:4" x14ac:dyDescent="0.25">
      <c r="C222" s="22"/>
      <c r="D222" s="22"/>
    </row>
    <row r="223" spans="3:4" x14ac:dyDescent="0.25">
      <c r="C223" s="22"/>
      <c r="D223" s="22"/>
    </row>
    <row r="224" spans="3:4" x14ac:dyDescent="0.25">
      <c r="C224" s="22"/>
      <c r="D224" s="22"/>
    </row>
    <row r="225" spans="3:4" x14ac:dyDescent="0.25">
      <c r="C225" s="22"/>
      <c r="D225" s="22"/>
    </row>
    <row r="226" spans="3:4" x14ac:dyDescent="0.25">
      <c r="C226" s="22"/>
      <c r="D226" s="22"/>
    </row>
    <row r="227" spans="3:4" x14ac:dyDescent="0.25">
      <c r="C227" s="22"/>
      <c r="D227" s="22"/>
    </row>
    <row r="228" spans="3:4" x14ac:dyDescent="0.25">
      <c r="C228" s="22"/>
      <c r="D228" s="22"/>
    </row>
    <row r="229" spans="3:4" x14ac:dyDescent="0.25">
      <c r="C229" s="22"/>
      <c r="D229" s="22"/>
    </row>
    <row r="230" spans="3:4" x14ac:dyDescent="0.25">
      <c r="C230" s="22"/>
      <c r="D230" s="22"/>
    </row>
    <row r="231" spans="3:4" x14ac:dyDescent="0.25">
      <c r="C231" s="22"/>
      <c r="D231" s="22"/>
    </row>
    <row r="232" spans="3:4" x14ac:dyDescent="0.25">
      <c r="C232" s="22"/>
      <c r="D232" s="22"/>
    </row>
    <row r="233" spans="3:4" x14ac:dyDescent="0.25">
      <c r="C233" s="22"/>
      <c r="D233" s="22"/>
    </row>
    <row r="234" spans="3:4" x14ac:dyDescent="0.25">
      <c r="C234" s="22"/>
      <c r="D234" s="22"/>
    </row>
    <row r="235" spans="3:4" x14ac:dyDescent="0.25">
      <c r="C235" s="22"/>
      <c r="D235" s="22"/>
    </row>
    <row r="236" spans="3:4" x14ac:dyDescent="0.25">
      <c r="C236" s="22"/>
      <c r="D236" s="22"/>
    </row>
    <row r="237" spans="3:4" x14ac:dyDescent="0.25">
      <c r="C237" s="22"/>
      <c r="D237" s="22"/>
    </row>
    <row r="238" spans="3:4" x14ac:dyDescent="0.25">
      <c r="C238" s="22"/>
      <c r="D238" s="22"/>
    </row>
    <row r="239" spans="3:4" x14ac:dyDescent="0.25">
      <c r="C239" s="22"/>
      <c r="D239" s="22"/>
    </row>
    <row r="240" spans="3:4" x14ac:dyDescent="0.25">
      <c r="C240" s="22"/>
      <c r="D240" s="22"/>
    </row>
    <row r="241" spans="3:4" x14ac:dyDescent="0.25">
      <c r="C241" s="22"/>
      <c r="D241" s="22"/>
    </row>
    <row r="242" spans="3:4" x14ac:dyDescent="0.25">
      <c r="C242" s="22"/>
      <c r="D242" s="22"/>
    </row>
    <row r="243" spans="3:4" x14ac:dyDescent="0.25">
      <c r="C243" s="22"/>
      <c r="D243" s="22"/>
    </row>
    <row r="244" spans="3:4" x14ac:dyDescent="0.25">
      <c r="C244" s="22"/>
      <c r="D244" s="22"/>
    </row>
    <row r="245" spans="3:4" x14ac:dyDescent="0.25">
      <c r="C245" s="22"/>
      <c r="D245" s="22"/>
    </row>
    <row r="246" spans="3:4" x14ac:dyDescent="0.25">
      <c r="C246" s="22"/>
      <c r="D246" s="22"/>
    </row>
    <row r="247" spans="3:4" x14ac:dyDescent="0.25">
      <c r="C247" s="22"/>
      <c r="D247" s="22"/>
    </row>
    <row r="248" spans="3:4" x14ac:dyDescent="0.25">
      <c r="C248" s="22"/>
      <c r="D248" s="22"/>
    </row>
    <row r="249" spans="3:4" x14ac:dyDescent="0.25">
      <c r="C249" s="22"/>
      <c r="D249" s="22"/>
    </row>
    <row r="250" spans="3:4" x14ac:dyDescent="0.25">
      <c r="C250" s="22"/>
      <c r="D250" s="22"/>
    </row>
    <row r="251" spans="3:4" x14ac:dyDescent="0.25">
      <c r="C251" s="22"/>
      <c r="D251" s="22"/>
    </row>
    <row r="252" spans="3:4" x14ac:dyDescent="0.25">
      <c r="C252" s="22"/>
      <c r="D252" s="22"/>
    </row>
    <row r="253" spans="3:4" x14ac:dyDescent="0.25">
      <c r="C253" s="22"/>
      <c r="D253" s="22"/>
    </row>
    <row r="254" spans="3:4" x14ac:dyDescent="0.25">
      <c r="C254" s="22"/>
      <c r="D254" s="22"/>
    </row>
    <row r="255" spans="3:4" x14ac:dyDescent="0.25">
      <c r="C255" s="22"/>
      <c r="D255" s="22"/>
    </row>
    <row r="256" spans="3:4" x14ac:dyDescent="0.25">
      <c r="C256" s="22"/>
      <c r="D256" s="22"/>
    </row>
    <row r="257" spans="3:4" x14ac:dyDescent="0.25">
      <c r="C257" s="22"/>
      <c r="D257" s="22"/>
    </row>
    <row r="258" spans="3:4" x14ac:dyDescent="0.25">
      <c r="C258" s="22"/>
      <c r="D258" s="22"/>
    </row>
    <row r="259" spans="3:4" x14ac:dyDescent="0.25">
      <c r="C259" s="22"/>
      <c r="D259" s="22"/>
    </row>
    <row r="260" spans="3:4" x14ac:dyDescent="0.25">
      <c r="C260" s="22"/>
      <c r="D260" s="22"/>
    </row>
    <row r="261" spans="3:4" x14ac:dyDescent="0.25">
      <c r="C261" s="22"/>
      <c r="D261" s="22"/>
    </row>
    <row r="262" spans="3:4" x14ac:dyDescent="0.25">
      <c r="C262" s="22"/>
      <c r="D262" s="22"/>
    </row>
    <row r="263" spans="3:4" x14ac:dyDescent="0.25">
      <c r="C263" s="22"/>
      <c r="D263" s="22"/>
    </row>
    <row r="264" spans="3:4" x14ac:dyDescent="0.25">
      <c r="C264" s="22"/>
      <c r="D264" s="22"/>
    </row>
    <row r="265" spans="3:4" x14ac:dyDescent="0.25">
      <c r="C265" s="22"/>
      <c r="D265" s="22"/>
    </row>
    <row r="266" spans="3:4" x14ac:dyDescent="0.25">
      <c r="C266" s="22"/>
      <c r="D266" s="22"/>
    </row>
    <row r="267" spans="3:4" x14ac:dyDescent="0.25">
      <c r="C267" s="22"/>
      <c r="D267" s="22"/>
    </row>
    <row r="268" spans="3:4" x14ac:dyDescent="0.25">
      <c r="C268" s="22"/>
      <c r="D268" s="22"/>
    </row>
    <row r="269" spans="3:4" x14ac:dyDescent="0.25">
      <c r="C269" s="22"/>
      <c r="D269" s="22"/>
    </row>
    <row r="270" spans="3:4" x14ac:dyDescent="0.25">
      <c r="C270" s="22"/>
      <c r="D270" s="22"/>
    </row>
    <row r="271" spans="3:4" x14ac:dyDescent="0.25">
      <c r="C271" s="22"/>
      <c r="D271" s="22"/>
    </row>
    <row r="272" spans="3:4" x14ac:dyDescent="0.25">
      <c r="C272" s="22"/>
      <c r="D272" s="22"/>
    </row>
    <row r="273" spans="3:4" x14ac:dyDescent="0.25">
      <c r="C273" s="22"/>
      <c r="D273" s="22"/>
    </row>
    <row r="274" spans="3:4" x14ac:dyDescent="0.25">
      <c r="C274" s="22"/>
      <c r="D274" s="22"/>
    </row>
    <row r="275" spans="3:4" x14ac:dyDescent="0.25">
      <c r="C275" s="22"/>
      <c r="D275" s="22"/>
    </row>
    <row r="276" spans="3:4" x14ac:dyDescent="0.25">
      <c r="C276" s="22"/>
      <c r="D276" s="22"/>
    </row>
    <row r="277" spans="3:4" x14ac:dyDescent="0.25">
      <c r="C277" s="22"/>
      <c r="D277" s="22"/>
    </row>
    <row r="278" spans="3:4" x14ac:dyDescent="0.25">
      <c r="C278" s="22"/>
      <c r="D278" s="22"/>
    </row>
    <row r="279" spans="3:4" x14ac:dyDescent="0.25">
      <c r="C279" s="22"/>
      <c r="D279" s="22"/>
    </row>
    <row r="280" spans="3:4" x14ac:dyDescent="0.25">
      <c r="C280" s="22"/>
      <c r="D280" s="22"/>
    </row>
    <row r="281" spans="3:4" x14ac:dyDescent="0.25">
      <c r="C281" s="22"/>
      <c r="D281" s="22"/>
    </row>
    <row r="282" spans="3:4" x14ac:dyDescent="0.25">
      <c r="C282" s="22"/>
      <c r="D282" s="22"/>
    </row>
    <row r="283" spans="3:4" x14ac:dyDescent="0.25">
      <c r="C283" s="22"/>
      <c r="D283" s="22"/>
    </row>
    <row r="284" spans="3:4" x14ac:dyDescent="0.25">
      <c r="C284" s="22"/>
      <c r="D284" s="22"/>
    </row>
    <row r="285" spans="3:4" x14ac:dyDescent="0.25">
      <c r="C285" s="22"/>
      <c r="D285" s="22"/>
    </row>
    <row r="286" spans="3:4" x14ac:dyDescent="0.25">
      <c r="C286" s="22"/>
      <c r="D286" s="22"/>
    </row>
    <row r="287" spans="3:4" x14ac:dyDescent="0.25">
      <c r="C287" s="22"/>
      <c r="D287" s="22"/>
    </row>
    <row r="288" spans="3:4" x14ac:dyDescent="0.25">
      <c r="C288" s="22"/>
      <c r="D288" s="22"/>
    </row>
    <row r="289" spans="3:4" x14ac:dyDescent="0.25">
      <c r="C289" s="22"/>
      <c r="D289" s="22"/>
    </row>
    <row r="290" spans="3:4" x14ac:dyDescent="0.25">
      <c r="C290" s="22"/>
      <c r="D290" s="22"/>
    </row>
    <row r="291" spans="3:4" x14ac:dyDescent="0.25">
      <c r="C291" s="22"/>
      <c r="D291" s="22"/>
    </row>
    <row r="292" spans="3:4" x14ac:dyDescent="0.25">
      <c r="C292" s="22"/>
      <c r="D292" s="22"/>
    </row>
    <row r="293" spans="3:4" x14ac:dyDescent="0.25">
      <c r="C293" s="22"/>
      <c r="D293" s="22"/>
    </row>
    <row r="294" spans="3:4" x14ac:dyDescent="0.25">
      <c r="C294" s="22"/>
      <c r="D294" s="22"/>
    </row>
    <row r="295" spans="3:4" x14ac:dyDescent="0.25">
      <c r="C295" s="22"/>
      <c r="D295" s="22"/>
    </row>
    <row r="296" spans="3:4" x14ac:dyDescent="0.25">
      <c r="C296" s="22"/>
      <c r="D296" s="22"/>
    </row>
    <row r="297" spans="3:4" x14ac:dyDescent="0.25">
      <c r="C297" s="22"/>
      <c r="D297" s="22"/>
    </row>
    <row r="298" spans="3:4" x14ac:dyDescent="0.25">
      <c r="C298" s="22"/>
      <c r="D298" s="22"/>
    </row>
    <row r="299" spans="3:4" x14ac:dyDescent="0.25">
      <c r="C299" s="22"/>
      <c r="D299" s="22"/>
    </row>
    <row r="300" spans="3:4" x14ac:dyDescent="0.25">
      <c r="C300" s="22"/>
      <c r="D300" s="22"/>
    </row>
    <row r="301" spans="3:4" x14ac:dyDescent="0.25">
      <c r="C301" s="22"/>
      <c r="D301" s="22"/>
    </row>
    <row r="302" spans="3:4" x14ac:dyDescent="0.25">
      <c r="C302" s="22"/>
      <c r="D302" s="22"/>
    </row>
    <row r="303" spans="3:4" x14ac:dyDescent="0.25">
      <c r="C303" s="22"/>
      <c r="D303" s="22"/>
    </row>
    <row r="304" spans="3:4" x14ac:dyDescent="0.25">
      <c r="C304" s="22"/>
      <c r="D304" s="22"/>
    </row>
    <row r="305" spans="3:4" x14ac:dyDescent="0.25">
      <c r="C305" s="22"/>
      <c r="D305" s="22"/>
    </row>
    <row r="306" spans="3:4" x14ac:dyDescent="0.25">
      <c r="C306" s="22"/>
      <c r="D306" s="22"/>
    </row>
    <row r="307" spans="3:4" x14ac:dyDescent="0.25">
      <c r="C307" s="22"/>
      <c r="D307" s="22"/>
    </row>
    <row r="308" spans="3:4" x14ac:dyDescent="0.25">
      <c r="C308" s="22"/>
      <c r="D308" s="22"/>
    </row>
    <row r="309" spans="3:4" x14ac:dyDescent="0.25">
      <c r="C309" s="22"/>
      <c r="D309" s="22"/>
    </row>
    <row r="310" spans="3:4" x14ac:dyDescent="0.25">
      <c r="C310" s="22"/>
      <c r="D310" s="22"/>
    </row>
    <row r="311" spans="3:4" x14ac:dyDescent="0.25">
      <c r="C311" s="22"/>
      <c r="D311" s="22"/>
    </row>
    <row r="312" spans="3:4" x14ac:dyDescent="0.25">
      <c r="C312" s="22"/>
      <c r="D312" s="22"/>
    </row>
    <row r="313" spans="3:4" x14ac:dyDescent="0.25">
      <c r="C313" s="22"/>
      <c r="D313" s="22"/>
    </row>
    <row r="314" spans="3:4" x14ac:dyDescent="0.25">
      <c r="C314" s="22"/>
      <c r="D314" s="22"/>
    </row>
    <row r="315" spans="3:4" x14ac:dyDescent="0.25">
      <c r="C315" s="22"/>
      <c r="D315" s="22"/>
    </row>
    <row r="316" spans="3:4" x14ac:dyDescent="0.25">
      <c r="C316" s="22"/>
      <c r="D316" s="22"/>
    </row>
    <row r="317" spans="3:4" x14ac:dyDescent="0.25">
      <c r="C317" s="22"/>
      <c r="D317" s="22"/>
    </row>
    <row r="318" spans="3:4" x14ac:dyDescent="0.25">
      <c r="C318" s="22"/>
      <c r="D318" s="22"/>
    </row>
    <row r="319" spans="3:4" x14ac:dyDescent="0.25">
      <c r="C319" s="22"/>
      <c r="D319" s="22"/>
    </row>
    <row r="320" spans="3:4" x14ac:dyDescent="0.25">
      <c r="C320" s="22"/>
      <c r="D320" s="22"/>
    </row>
    <row r="321" spans="3:4" x14ac:dyDescent="0.25">
      <c r="C321" s="22"/>
      <c r="D321" s="22"/>
    </row>
    <row r="322" spans="3:4" x14ac:dyDescent="0.25">
      <c r="C322" s="22"/>
      <c r="D322" s="22"/>
    </row>
    <row r="323" spans="3:4" x14ac:dyDescent="0.25">
      <c r="C323" s="22"/>
      <c r="D323" s="22"/>
    </row>
    <row r="324" spans="3:4" x14ac:dyDescent="0.25">
      <c r="C324" s="22"/>
      <c r="D324" s="22"/>
    </row>
    <row r="325" spans="3:4" x14ac:dyDescent="0.25">
      <c r="C325" s="22"/>
      <c r="D325" s="22"/>
    </row>
    <row r="326" spans="3:4" x14ac:dyDescent="0.25">
      <c r="C326" s="22"/>
      <c r="D326" s="22"/>
    </row>
    <row r="327" spans="3:4" x14ac:dyDescent="0.25">
      <c r="C327" s="22"/>
      <c r="D327" s="22"/>
    </row>
    <row r="328" spans="3:4" x14ac:dyDescent="0.25">
      <c r="C328" s="22"/>
      <c r="D328" s="22"/>
    </row>
    <row r="329" spans="3:4" x14ac:dyDescent="0.25">
      <c r="C329" s="22"/>
      <c r="D329" s="22"/>
    </row>
    <row r="330" spans="3:4" x14ac:dyDescent="0.25">
      <c r="C330" s="22"/>
      <c r="D330" s="22"/>
    </row>
    <row r="331" spans="3:4" x14ac:dyDescent="0.25">
      <c r="C331" s="22"/>
      <c r="D331" s="22"/>
    </row>
    <row r="332" spans="3:4" x14ac:dyDescent="0.25">
      <c r="C332" s="22"/>
      <c r="D332" s="22"/>
    </row>
    <row r="333" spans="3:4" x14ac:dyDescent="0.25">
      <c r="C333" s="22"/>
      <c r="D333" s="22"/>
    </row>
    <row r="334" spans="3:4" x14ac:dyDescent="0.25">
      <c r="C334" s="22"/>
      <c r="D334" s="22"/>
    </row>
    <row r="335" spans="3:4" x14ac:dyDescent="0.25">
      <c r="C335" s="22"/>
      <c r="D335" s="22"/>
    </row>
    <row r="336" spans="3:4" x14ac:dyDescent="0.25">
      <c r="C336" s="22"/>
      <c r="D336" s="22"/>
    </row>
    <row r="337" spans="3:4" x14ac:dyDescent="0.25">
      <c r="C337" s="22"/>
      <c r="D337" s="22"/>
    </row>
    <row r="338" spans="3:4" x14ac:dyDescent="0.25">
      <c r="C338" s="22"/>
      <c r="D338" s="22"/>
    </row>
    <row r="339" spans="3:4" x14ac:dyDescent="0.25">
      <c r="C339" s="22"/>
      <c r="D339" s="22"/>
    </row>
    <row r="340" spans="3:4" x14ac:dyDescent="0.25">
      <c r="C340" s="22"/>
      <c r="D340" s="22"/>
    </row>
    <row r="341" spans="3:4" x14ac:dyDescent="0.25">
      <c r="C341" s="22"/>
      <c r="D341" s="22"/>
    </row>
    <row r="342" spans="3:4" x14ac:dyDescent="0.25">
      <c r="C342" s="22"/>
      <c r="D342" s="22"/>
    </row>
    <row r="343" spans="3:4" x14ac:dyDescent="0.25">
      <c r="C343" s="22"/>
      <c r="D343" s="22"/>
    </row>
    <row r="344" spans="3:4" x14ac:dyDescent="0.25">
      <c r="C344" s="22"/>
      <c r="D344" s="22"/>
    </row>
    <row r="345" spans="3:4" x14ac:dyDescent="0.25">
      <c r="C345" s="22"/>
      <c r="D345" s="22"/>
    </row>
    <row r="346" spans="3:4" x14ac:dyDescent="0.25">
      <c r="C346" s="22"/>
      <c r="D346" s="22"/>
    </row>
    <row r="347" spans="3:4" x14ac:dyDescent="0.25">
      <c r="C347" s="22"/>
      <c r="D347" s="22"/>
    </row>
    <row r="348" spans="3:4" x14ac:dyDescent="0.25">
      <c r="C348" s="22"/>
      <c r="D348" s="22"/>
    </row>
    <row r="349" spans="3:4" x14ac:dyDescent="0.25">
      <c r="C349" s="22"/>
      <c r="D349" s="22"/>
    </row>
    <row r="350" spans="3:4" x14ac:dyDescent="0.25">
      <c r="C350" s="22"/>
      <c r="D350" s="22"/>
    </row>
    <row r="351" spans="3:4" x14ac:dyDescent="0.25">
      <c r="C351" s="22"/>
      <c r="D351" s="22"/>
    </row>
    <row r="352" spans="3:4" x14ac:dyDescent="0.25">
      <c r="C352" s="22"/>
      <c r="D352" s="22"/>
    </row>
    <row r="353" spans="3:4" x14ac:dyDescent="0.25">
      <c r="C353" s="22"/>
      <c r="D353" s="22"/>
    </row>
    <row r="354" spans="3:4" x14ac:dyDescent="0.25">
      <c r="C354" s="22"/>
      <c r="D354" s="22"/>
    </row>
    <row r="355" spans="3:4" x14ac:dyDescent="0.25">
      <c r="C355" s="22"/>
      <c r="D355" s="22"/>
    </row>
    <row r="356" spans="3:4" x14ac:dyDescent="0.25">
      <c r="C356" s="22"/>
      <c r="D356" s="22"/>
    </row>
    <row r="357" spans="3:4" x14ac:dyDescent="0.25">
      <c r="C357" s="22"/>
      <c r="D357" s="22"/>
    </row>
    <row r="358" spans="3:4" x14ac:dyDescent="0.25">
      <c r="C358" s="22"/>
      <c r="D358" s="22"/>
    </row>
    <row r="359" spans="3:4" x14ac:dyDescent="0.25">
      <c r="C359" s="22"/>
      <c r="D359" s="22"/>
    </row>
    <row r="360" spans="3:4" x14ac:dyDescent="0.25">
      <c r="C360" s="22"/>
      <c r="D360" s="22"/>
    </row>
    <row r="361" spans="3:4" x14ac:dyDescent="0.25">
      <c r="C361" s="22"/>
      <c r="D361" s="22"/>
    </row>
    <row r="362" spans="3:4" x14ac:dyDescent="0.25">
      <c r="C362" s="22"/>
      <c r="D362" s="22"/>
    </row>
    <row r="363" spans="3:4" x14ac:dyDescent="0.25">
      <c r="C363" s="22"/>
      <c r="D363" s="22"/>
    </row>
    <row r="364" spans="3:4" x14ac:dyDescent="0.25">
      <c r="C364" s="22"/>
      <c r="D364" s="22"/>
    </row>
    <row r="365" spans="3:4" x14ac:dyDescent="0.25">
      <c r="C365" s="22"/>
      <c r="D365" s="22"/>
    </row>
    <row r="366" spans="3:4" x14ac:dyDescent="0.25">
      <c r="C366" s="22"/>
      <c r="D366" s="22"/>
    </row>
    <row r="367" spans="3:4" x14ac:dyDescent="0.25">
      <c r="C367" s="22"/>
      <c r="D367" s="22"/>
    </row>
    <row r="368" spans="3:4" x14ac:dyDescent="0.25">
      <c r="C368" s="22"/>
      <c r="D368" s="22"/>
    </row>
    <row r="369" spans="3:4" x14ac:dyDescent="0.25">
      <c r="C369" s="22"/>
      <c r="D369" s="22"/>
    </row>
    <row r="370" spans="3:4" x14ac:dyDescent="0.25">
      <c r="C370" s="22"/>
      <c r="D370" s="22"/>
    </row>
    <row r="371" spans="3:4" x14ac:dyDescent="0.25">
      <c r="C371" s="22"/>
      <c r="D371" s="22"/>
    </row>
    <row r="372" spans="3:4" x14ac:dyDescent="0.25">
      <c r="C372" s="22"/>
      <c r="D372" s="22"/>
    </row>
    <row r="373" spans="3:4" x14ac:dyDescent="0.25">
      <c r="C373" s="22"/>
      <c r="D373" s="22"/>
    </row>
    <row r="374" spans="3:4" x14ac:dyDescent="0.25">
      <c r="C374" s="22"/>
      <c r="D374" s="22"/>
    </row>
    <row r="375" spans="3:4" x14ac:dyDescent="0.25">
      <c r="C375" s="22"/>
      <c r="D375" s="22"/>
    </row>
    <row r="376" spans="3:4" x14ac:dyDescent="0.25">
      <c r="C376" s="22"/>
      <c r="D376" s="22"/>
    </row>
    <row r="377" spans="3:4" x14ac:dyDescent="0.25">
      <c r="C377" s="22"/>
      <c r="D377" s="22"/>
    </row>
    <row r="378" spans="3:4" x14ac:dyDescent="0.25">
      <c r="C378" s="22"/>
      <c r="D378" s="22"/>
    </row>
    <row r="379" spans="3:4" x14ac:dyDescent="0.25">
      <c r="C379" s="22"/>
      <c r="D379" s="22"/>
    </row>
    <row r="380" spans="3:4" x14ac:dyDescent="0.25">
      <c r="C380" s="22"/>
      <c r="D380" s="22"/>
    </row>
    <row r="381" spans="3:4" x14ac:dyDescent="0.25">
      <c r="C381" s="22"/>
      <c r="D381" s="22"/>
    </row>
    <row r="382" spans="3:4" x14ac:dyDescent="0.25">
      <c r="C382" s="22"/>
      <c r="D382" s="22"/>
    </row>
    <row r="383" spans="3:4" x14ac:dyDescent="0.25">
      <c r="C383" s="22"/>
      <c r="D383" s="22"/>
    </row>
    <row r="384" spans="3:4" x14ac:dyDescent="0.25">
      <c r="C384" s="22"/>
      <c r="D384" s="22"/>
    </row>
    <row r="385" spans="3:4" x14ac:dyDescent="0.25">
      <c r="C385" s="22"/>
      <c r="D385" s="22"/>
    </row>
    <row r="386" spans="3:4" x14ac:dyDescent="0.25">
      <c r="C386" s="22"/>
      <c r="D386" s="22"/>
    </row>
    <row r="387" spans="3:4" x14ac:dyDescent="0.25">
      <c r="C387" s="22"/>
      <c r="D387" s="22"/>
    </row>
    <row r="388" spans="3:4" x14ac:dyDescent="0.25">
      <c r="C388" s="22"/>
      <c r="D388" s="22"/>
    </row>
    <row r="389" spans="3:4" x14ac:dyDescent="0.25">
      <c r="C389" s="22"/>
      <c r="D389" s="22"/>
    </row>
    <row r="390" spans="3:4" x14ac:dyDescent="0.25">
      <c r="C390" s="22"/>
      <c r="D390" s="22"/>
    </row>
    <row r="391" spans="3:4" x14ac:dyDescent="0.25">
      <c r="C391" s="22"/>
      <c r="D391" s="22"/>
    </row>
    <row r="392" spans="3:4" x14ac:dyDescent="0.25">
      <c r="C392" s="22"/>
      <c r="D392" s="22"/>
    </row>
    <row r="393" spans="3:4" x14ac:dyDescent="0.25">
      <c r="C393" s="22"/>
      <c r="D393" s="22"/>
    </row>
    <row r="394" spans="3:4" x14ac:dyDescent="0.25">
      <c r="C394" s="22"/>
      <c r="D394" s="22"/>
    </row>
    <row r="395" spans="3:4" x14ac:dyDescent="0.25">
      <c r="C395" s="22"/>
      <c r="D395" s="22"/>
    </row>
    <row r="396" spans="3:4" x14ac:dyDescent="0.25">
      <c r="C396" s="22"/>
      <c r="D396" s="22"/>
    </row>
    <row r="397" spans="3:4" x14ac:dyDescent="0.25">
      <c r="C397" s="22"/>
      <c r="D397" s="22"/>
    </row>
    <row r="398" spans="3:4" x14ac:dyDescent="0.25">
      <c r="C398" s="22"/>
      <c r="D398" s="22"/>
    </row>
    <row r="399" spans="3:4" x14ac:dyDescent="0.25">
      <c r="C399" s="22"/>
      <c r="D399" s="22"/>
    </row>
    <row r="400" spans="3:4" x14ac:dyDescent="0.25">
      <c r="C400" s="22"/>
      <c r="D400" s="22"/>
    </row>
    <row r="401" spans="3:4" x14ac:dyDescent="0.25">
      <c r="C401" s="22"/>
      <c r="D401" s="22"/>
    </row>
    <row r="402" spans="3:4" x14ac:dyDescent="0.25">
      <c r="C402" s="22"/>
      <c r="D402" s="22"/>
    </row>
    <row r="403" spans="3:4" x14ac:dyDescent="0.25">
      <c r="C403" s="22"/>
      <c r="D403" s="22"/>
    </row>
    <row r="404" spans="3:4" x14ac:dyDescent="0.25">
      <c r="C404" s="22"/>
      <c r="D404" s="22"/>
    </row>
    <row r="405" spans="3:4" x14ac:dyDescent="0.25">
      <c r="C405" s="22"/>
      <c r="D405" s="22"/>
    </row>
    <row r="406" spans="3:4" x14ac:dyDescent="0.25">
      <c r="C406" s="22"/>
      <c r="D406" s="22"/>
    </row>
    <row r="407" spans="3:4" x14ac:dyDescent="0.25">
      <c r="C407" s="22"/>
      <c r="D407" s="22"/>
    </row>
    <row r="408" spans="3:4" x14ac:dyDescent="0.25">
      <c r="C408" s="22"/>
      <c r="D408" s="22"/>
    </row>
    <row r="409" spans="3:4" x14ac:dyDescent="0.25">
      <c r="C409" s="22"/>
      <c r="D409" s="22"/>
    </row>
    <row r="410" spans="3:4" x14ac:dyDescent="0.25">
      <c r="C410" s="22"/>
      <c r="D410" s="22"/>
    </row>
    <row r="411" spans="3:4" x14ac:dyDescent="0.25">
      <c r="C411" s="22"/>
      <c r="D411" s="22"/>
    </row>
    <row r="412" spans="3:4" x14ac:dyDescent="0.25">
      <c r="C412" s="22"/>
      <c r="D412" s="22"/>
    </row>
    <row r="413" spans="3:4" x14ac:dyDescent="0.25">
      <c r="C413" s="22"/>
      <c r="D413" s="22"/>
    </row>
    <row r="414" spans="3:4" x14ac:dyDescent="0.25">
      <c r="C414" s="22"/>
      <c r="D414" s="22"/>
    </row>
    <row r="415" spans="3:4" x14ac:dyDescent="0.25">
      <c r="C415" s="22"/>
      <c r="D415" s="22"/>
    </row>
    <row r="416" spans="3:4" x14ac:dyDescent="0.25">
      <c r="C416" s="22"/>
      <c r="D416" s="22"/>
    </row>
    <row r="417" spans="3:4" x14ac:dyDescent="0.25">
      <c r="C417" s="22"/>
      <c r="D417" s="22"/>
    </row>
    <row r="418" spans="3:4" x14ac:dyDescent="0.25">
      <c r="C418" s="22"/>
      <c r="D418" s="22"/>
    </row>
    <row r="419" spans="3:4" x14ac:dyDescent="0.25">
      <c r="C419" s="22"/>
      <c r="D419" s="22"/>
    </row>
    <row r="420" spans="3:4" x14ac:dyDescent="0.25">
      <c r="C420" s="22"/>
      <c r="D420" s="22"/>
    </row>
    <row r="421" spans="3:4" x14ac:dyDescent="0.25">
      <c r="C421" s="22"/>
      <c r="D421" s="22"/>
    </row>
    <row r="422" spans="3:4" x14ac:dyDescent="0.25">
      <c r="C422" s="22"/>
      <c r="D422" s="22"/>
    </row>
    <row r="423" spans="3:4" x14ac:dyDescent="0.25">
      <c r="C423" s="22"/>
      <c r="D423" s="22"/>
    </row>
    <row r="424" spans="3:4" x14ac:dyDescent="0.25">
      <c r="C424" s="22"/>
      <c r="D424" s="22"/>
    </row>
    <row r="425" spans="3:4" x14ac:dyDescent="0.25">
      <c r="C425" s="22"/>
      <c r="D425" s="22"/>
    </row>
    <row r="426" spans="3:4" x14ac:dyDescent="0.25">
      <c r="C426" s="22"/>
      <c r="D426" s="22"/>
    </row>
    <row r="427" spans="3:4" x14ac:dyDescent="0.25">
      <c r="C427" s="22"/>
      <c r="D427" s="22"/>
    </row>
    <row r="428" spans="3:4" x14ac:dyDescent="0.25">
      <c r="C428" s="22"/>
      <c r="D428" s="22"/>
    </row>
    <row r="429" spans="3:4" x14ac:dyDescent="0.25">
      <c r="C429" s="22"/>
      <c r="D429" s="22"/>
    </row>
    <row r="430" spans="3:4" x14ac:dyDescent="0.25">
      <c r="C430" s="22"/>
      <c r="D430" s="22"/>
    </row>
    <row r="431" spans="3:4" x14ac:dyDescent="0.25">
      <c r="C431" s="22"/>
      <c r="D431" s="22"/>
    </row>
    <row r="432" spans="3:4" x14ac:dyDescent="0.25">
      <c r="C432" s="22"/>
      <c r="D432" s="22"/>
    </row>
    <row r="433" spans="3:4" x14ac:dyDescent="0.25">
      <c r="C433" s="22"/>
      <c r="D433" s="22"/>
    </row>
    <row r="434" spans="3:4" x14ac:dyDescent="0.25">
      <c r="C434" s="22"/>
      <c r="D434" s="22"/>
    </row>
    <row r="435" spans="3:4" x14ac:dyDescent="0.25">
      <c r="C435" s="22"/>
      <c r="D435" s="22"/>
    </row>
    <row r="436" spans="3:4" x14ac:dyDescent="0.25">
      <c r="C436" s="22"/>
      <c r="D436" s="22"/>
    </row>
    <row r="437" spans="3:4" x14ac:dyDescent="0.25">
      <c r="C437" s="22"/>
      <c r="D437" s="22"/>
    </row>
    <row r="438" spans="3:4" x14ac:dyDescent="0.25">
      <c r="C438" s="22"/>
      <c r="D438" s="22"/>
    </row>
    <row r="439" spans="3:4" x14ac:dyDescent="0.25">
      <c r="C439" s="22"/>
      <c r="D439" s="22"/>
    </row>
    <row r="440" spans="3:4" x14ac:dyDescent="0.25">
      <c r="C440" s="22"/>
      <c r="D440" s="22"/>
    </row>
    <row r="441" spans="3:4" x14ac:dyDescent="0.25">
      <c r="C441" s="22"/>
      <c r="D441" s="22"/>
    </row>
    <row r="442" spans="3:4" x14ac:dyDescent="0.25">
      <c r="C442" s="22"/>
      <c r="D442" s="22"/>
    </row>
    <row r="443" spans="3:4" x14ac:dyDescent="0.25">
      <c r="C443" s="22"/>
      <c r="D443" s="22"/>
    </row>
    <row r="444" spans="3:4" x14ac:dyDescent="0.25">
      <c r="C444" s="22"/>
      <c r="D444" s="22"/>
    </row>
    <row r="445" spans="3:4" x14ac:dyDescent="0.25">
      <c r="C445" s="22"/>
      <c r="D445" s="22"/>
    </row>
    <row r="446" spans="3:4" x14ac:dyDescent="0.25">
      <c r="C446" s="22"/>
      <c r="D446" s="22"/>
    </row>
    <row r="447" spans="3:4" x14ac:dyDescent="0.25">
      <c r="C447" s="22"/>
      <c r="D447" s="22"/>
    </row>
    <row r="448" spans="3:4" x14ac:dyDescent="0.25">
      <c r="C448" s="22"/>
      <c r="D448" s="22"/>
    </row>
    <row r="449" spans="3:4" x14ac:dyDescent="0.25">
      <c r="C449" s="22"/>
      <c r="D449" s="22"/>
    </row>
    <row r="450" spans="3:4" x14ac:dyDescent="0.25">
      <c r="C450" s="22"/>
      <c r="D450" s="22"/>
    </row>
    <row r="451" spans="3:4" x14ac:dyDescent="0.25">
      <c r="C451" s="22"/>
      <c r="D451" s="22"/>
    </row>
    <row r="452" spans="3:4" x14ac:dyDescent="0.25">
      <c r="C452" s="22"/>
      <c r="D452" s="22"/>
    </row>
    <row r="453" spans="3:4" x14ac:dyDescent="0.25">
      <c r="C453" s="22"/>
      <c r="D453" s="22"/>
    </row>
    <row r="454" spans="3:4" x14ac:dyDescent="0.25">
      <c r="C454" s="22"/>
      <c r="D454" s="22"/>
    </row>
    <row r="455" spans="3:4" x14ac:dyDescent="0.25">
      <c r="C455" s="22"/>
      <c r="D455" s="22"/>
    </row>
    <row r="456" spans="3:4" x14ac:dyDescent="0.25">
      <c r="C456" s="22"/>
      <c r="D456" s="22"/>
    </row>
    <row r="457" spans="3:4" x14ac:dyDescent="0.25">
      <c r="C457" s="22"/>
      <c r="D457" s="22"/>
    </row>
    <row r="458" spans="3:4" x14ac:dyDescent="0.25">
      <c r="C458" s="22"/>
      <c r="D458" s="22"/>
    </row>
    <row r="459" spans="3:4" x14ac:dyDescent="0.25">
      <c r="C459" s="22"/>
      <c r="D459" s="22"/>
    </row>
    <row r="460" spans="3:4" x14ac:dyDescent="0.25">
      <c r="C460" s="22"/>
      <c r="D460" s="22"/>
    </row>
    <row r="461" spans="3:4" x14ac:dyDescent="0.25">
      <c r="C461" s="22"/>
      <c r="D461" s="22"/>
    </row>
    <row r="462" spans="3:4" x14ac:dyDescent="0.25">
      <c r="C462" s="22"/>
      <c r="D462" s="22"/>
    </row>
    <row r="463" spans="3:4" x14ac:dyDescent="0.25">
      <c r="C463" s="22"/>
      <c r="D463" s="22"/>
    </row>
    <row r="464" spans="3:4" x14ac:dyDescent="0.25">
      <c r="C464" s="22"/>
      <c r="D464" s="22"/>
    </row>
    <row r="465" spans="3:4" x14ac:dyDescent="0.25">
      <c r="C465" s="22"/>
      <c r="D465" s="22"/>
    </row>
    <row r="466" spans="3:4" x14ac:dyDescent="0.25">
      <c r="C466" s="22"/>
      <c r="D466" s="22"/>
    </row>
    <row r="467" spans="3:4" x14ac:dyDescent="0.25">
      <c r="C467" s="22"/>
      <c r="D467" s="22"/>
    </row>
    <row r="468" spans="3:4" x14ac:dyDescent="0.25">
      <c r="C468" s="22"/>
      <c r="D468" s="22"/>
    </row>
    <row r="469" spans="3:4" x14ac:dyDescent="0.25">
      <c r="C469" s="22"/>
      <c r="D469" s="22"/>
    </row>
    <row r="470" spans="3:4" x14ac:dyDescent="0.25">
      <c r="C470" s="22"/>
      <c r="D470" s="22"/>
    </row>
    <row r="471" spans="3:4" x14ac:dyDescent="0.25">
      <c r="C471" s="22"/>
      <c r="D471" s="22"/>
    </row>
    <row r="472" spans="3:4" x14ac:dyDescent="0.25">
      <c r="C472" s="22"/>
      <c r="D472" s="22"/>
    </row>
    <row r="473" spans="3:4" x14ac:dyDescent="0.25">
      <c r="C473" s="22"/>
      <c r="D473" s="22"/>
    </row>
    <row r="474" spans="3:4" x14ac:dyDescent="0.25">
      <c r="C474" s="22"/>
      <c r="D474" s="22"/>
    </row>
    <row r="475" spans="3:4" x14ac:dyDescent="0.25">
      <c r="C475" s="22"/>
      <c r="D475" s="22"/>
    </row>
    <row r="476" spans="3:4" x14ac:dyDescent="0.25">
      <c r="C476" s="22"/>
      <c r="D476" s="22"/>
    </row>
    <row r="477" spans="3:4" x14ac:dyDescent="0.25">
      <c r="C477" s="22"/>
      <c r="D477" s="22"/>
    </row>
    <row r="478" spans="3:4" x14ac:dyDescent="0.25">
      <c r="C478" s="22"/>
      <c r="D478" s="22"/>
    </row>
    <row r="479" spans="3:4" x14ac:dyDescent="0.25">
      <c r="C479" s="22"/>
      <c r="D479" s="22"/>
    </row>
    <row r="480" spans="3:4" x14ac:dyDescent="0.25">
      <c r="C480" s="22"/>
      <c r="D480" s="22"/>
    </row>
    <row r="481" spans="3:4" x14ac:dyDescent="0.25">
      <c r="C481" s="22"/>
      <c r="D481" s="22"/>
    </row>
    <row r="482" spans="3:4" x14ac:dyDescent="0.25">
      <c r="C482" s="22"/>
      <c r="D482" s="22"/>
    </row>
    <row r="483" spans="3:4" x14ac:dyDescent="0.25">
      <c r="C483" s="22"/>
      <c r="D483" s="22"/>
    </row>
    <row r="484" spans="3:4" x14ac:dyDescent="0.25">
      <c r="C484" s="22"/>
      <c r="D484" s="22"/>
    </row>
    <row r="485" spans="3:4" x14ac:dyDescent="0.25">
      <c r="C485" s="22"/>
      <c r="D485" s="22"/>
    </row>
    <row r="486" spans="3:4" x14ac:dyDescent="0.25">
      <c r="C486" s="22"/>
      <c r="D486" s="22"/>
    </row>
    <row r="487" spans="3:4" x14ac:dyDescent="0.25">
      <c r="C487" s="22"/>
      <c r="D487" s="22"/>
    </row>
    <row r="488" spans="3:4" x14ac:dyDescent="0.25">
      <c r="C488" s="22"/>
      <c r="D488" s="22"/>
    </row>
    <row r="489" spans="3:4" x14ac:dyDescent="0.25">
      <c r="C489" s="22"/>
      <c r="D489" s="22"/>
    </row>
    <row r="490" spans="3:4" x14ac:dyDescent="0.25">
      <c r="C490" s="22"/>
      <c r="D490" s="22"/>
    </row>
    <row r="491" spans="3:4" x14ac:dyDescent="0.25">
      <c r="C491" s="22"/>
      <c r="D491" s="22"/>
    </row>
    <row r="492" spans="3:4" x14ac:dyDescent="0.25">
      <c r="C492" s="22"/>
      <c r="D492" s="22"/>
    </row>
    <row r="493" spans="3:4" x14ac:dyDescent="0.25">
      <c r="C493" s="22"/>
      <c r="D493" s="22"/>
    </row>
    <row r="494" spans="3:4" x14ac:dyDescent="0.25">
      <c r="C494" s="22"/>
      <c r="D494" s="22"/>
    </row>
    <row r="495" spans="3:4" x14ac:dyDescent="0.25">
      <c r="C495" s="22"/>
      <c r="D495" s="22"/>
    </row>
    <row r="496" spans="3:4" x14ac:dyDescent="0.25">
      <c r="C496" s="22"/>
      <c r="D496" s="22"/>
    </row>
    <row r="497" spans="3:4" x14ac:dyDescent="0.25">
      <c r="C497" s="22"/>
      <c r="D497" s="22"/>
    </row>
    <row r="498" spans="3:4" x14ac:dyDescent="0.25">
      <c r="C498" s="22"/>
      <c r="D498" s="22"/>
    </row>
    <row r="499" spans="3:4" x14ac:dyDescent="0.25">
      <c r="C499" s="22"/>
      <c r="D499" s="22"/>
    </row>
    <row r="500" spans="3:4" x14ac:dyDescent="0.25">
      <c r="C500" s="22"/>
      <c r="D500" s="22"/>
    </row>
    <row r="501" spans="3:4" x14ac:dyDescent="0.25">
      <c r="C501" s="22"/>
      <c r="D501" s="22"/>
    </row>
    <row r="502" spans="3:4" x14ac:dyDescent="0.25">
      <c r="C502" s="22"/>
      <c r="D502" s="22"/>
    </row>
    <row r="503" spans="3:4" x14ac:dyDescent="0.25">
      <c r="C503" s="22"/>
      <c r="D503" s="22"/>
    </row>
    <row r="504" spans="3:4" x14ac:dyDescent="0.25">
      <c r="C504" s="22"/>
      <c r="D504" s="22"/>
    </row>
    <row r="505" spans="3:4" x14ac:dyDescent="0.25">
      <c r="C505" s="22"/>
      <c r="D505" s="22"/>
    </row>
    <row r="506" spans="3:4" x14ac:dyDescent="0.25">
      <c r="C506" s="22"/>
      <c r="D506" s="22"/>
    </row>
    <row r="507" spans="3:4" x14ac:dyDescent="0.25">
      <c r="C507" s="22"/>
      <c r="D507" s="22"/>
    </row>
    <row r="508" spans="3:4" x14ac:dyDescent="0.25">
      <c r="C508" s="22"/>
      <c r="D508" s="22"/>
    </row>
    <row r="509" spans="3:4" x14ac:dyDescent="0.25">
      <c r="C509" s="22"/>
      <c r="D509" s="22"/>
    </row>
    <row r="510" spans="3:4" x14ac:dyDescent="0.25">
      <c r="C510" s="22"/>
      <c r="D510" s="22"/>
    </row>
    <row r="511" spans="3:4" x14ac:dyDescent="0.25">
      <c r="C511" s="22"/>
      <c r="D511" s="22"/>
    </row>
    <row r="512" spans="3:4" x14ac:dyDescent="0.25">
      <c r="C512" s="22"/>
      <c r="D512" s="22"/>
    </row>
    <row r="513" spans="3:4" x14ac:dyDescent="0.25">
      <c r="C513" s="22"/>
      <c r="D513" s="22"/>
    </row>
    <row r="514" spans="3:4" x14ac:dyDescent="0.25">
      <c r="C514" s="22"/>
      <c r="D514" s="22"/>
    </row>
    <row r="515" spans="3:4" x14ac:dyDescent="0.25">
      <c r="C515" s="22"/>
      <c r="D515" s="22"/>
    </row>
    <row r="516" spans="3:4" x14ac:dyDescent="0.25">
      <c r="C516" s="22"/>
      <c r="D516" s="22"/>
    </row>
    <row r="517" spans="3:4" x14ac:dyDescent="0.25">
      <c r="C517" s="22"/>
      <c r="D517" s="22"/>
    </row>
    <row r="518" spans="3:4" x14ac:dyDescent="0.25">
      <c r="C518" s="22"/>
      <c r="D518" s="22"/>
    </row>
    <row r="519" spans="3:4" x14ac:dyDescent="0.25">
      <c r="C519" s="22"/>
      <c r="D519" s="22"/>
    </row>
    <row r="520" spans="3:4" x14ac:dyDescent="0.25">
      <c r="C520" s="22"/>
      <c r="D520" s="22"/>
    </row>
    <row r="521" spans="3:4" x14ac:dyDescent="0.25">
      <c r="C521" s="22"/>
      <c r="D521" s="22"/>
    </row>
    <row r="522" spans="3:4" x14ac:dyDescent="0.25">
      <c r="C522" s="22"/>
      <c r="D522" s="22"/>
    </row>
    <row r="523" spans="3:4" x14ac:dyDescent="0.25">
      <c r="C523" s="22"/>
      <c r="D523" s="22"/>
    </row>
    <row r="524" spans="3:4" x14ac:dyDescent="0.25">
      <c r="C524" s="22"/>
      <c r="D524" s="22"/>
    </row>
    <row r="525" spans="3:4" x14ac:dyDescent="0.25">
      <c r="C525" s="22"/>
      <c r="D525" s="22"/>
    </row>
    <row r="526" spans="3:4" x14ac:dyDescent="0.25">
      <c r="C526" s="22"/>
      <c r="D526" s="22"/>
    </row>
    <row r="527" spans="3:4" x14ac:dyDescent="0.25">
      <c r="C527" s="22"/>
      <c r="D527" s="22"/>
    </row>
    <row r="528" spans="3:4" x14ac:dyDescent="0.25">
      <c r="C528" s="22"/>
      <c r="D528" s="22"/>
    </row>
    <row r="529" spans="3:4" x14ac:dyDescent="0.25">
      <c r="C529" s="22"/>
      <c r="D529" s="22"/>
    </row>
    <row r="530" spans="3:4" x14ac:dyDescent="0.25">
      <c r="C530" s="22"/>
      <c r="D530" s="22"/>
    </row>
    <row r="531" spans="3:4" x14ac:dyDescent="0.25">
      <c r="C531" s="22"/>
      <c r="D531" s="22"/>
    </row>
    <row r="532" spans="3:4" x14ac:dyDescent="0.25">
      <c r="C532" s="22"/>
      <c r="D532" s="22"/>
    </row>
    <row r="533" spans="3:4" x14ac:dyDescent="0.25">
      <c r="C533" s="22"/>
      <c r="D533" s="22"/>
    </row>
    <row r="534" spans="3:4" x14ac:dyDescent="0.25">
      <c r="C534" s="22"/>
      <c r="D534" s="22"/>
    </row>
    <row r="535" spans="3:4" x14ac:dyDescent="0.25">
      <c r="C535" s="22"/>
      <c r="D535" s="22"/>
    </row>
    <row r="536" spans="3:4" x14ac:dyDescent="0.25">
      <c r="C536" s="22"/>
      <c r="D536" s="22"/>
    </row>
    <row r="537" spans="3:4" x14ac:dyDescent="0.25">
      <c r="C537" s="22"/>
      <c r="D537" s="22"/>
    </row>
    <row r="538" spans="3:4" x14ac:dyDescent="0.25">
      <c r="C538" s="22"/>
      <c r="D538" s="22"/>
    </row>
    <row r="539" spans="3:4" x14ac:dyDescent="0.25">
      <c r="C539" s="22"/>
      <c r="D539" s="22"/>
    </row>
    <row r="540" spans="3:4" x14ac:dyDescent="0.25">
      <c r="C540" s="22"/>
      <c r="D540" s="22"/>
    </row>
    <row r="541" spans="3:4" x14ac:dyDescent="0.25">
      <c r="C541" s="22"/>
      <c r="D541" s="22"/>
    </row>
    <row r="542" spans="3:4" x14ac:dyDescent="0.25">
      <c r="C542" s="22"/>
      <c r="D542" s="22"/>
    </row>
    <row r="543" spans="3:4" x14ac:dyDescent="0.25">
      <c r="C543" s="22"/>
      <c r="D543" s="22"/>
    </row>
    <row r="544" spans="3:4" x14ac:dyDescent="0.25">
      <c r="C544" s="22"/>
      <c r="D544" s="22"/>
    </row>
    <row r="545" spans="3:4" x14ac:dyDescent="0.25">
      <c r="C545" s="22"/>
      <c r="D545" s="22"/>
    </row>
    <row r="546" spans="3:4" x14ac:dyDescent="0.25">
      <c r="C546" s="22"/>
      <c r="D546" s="22"/>
    </row>
    <row r="547" spans="3:4" x14ac:dyDescent="0.25">
      <c r="C547" s="22"/>
      <c r="D547" s="22"/>
    </row>
    <row r="548" spans="3:4" x14ac:dyDescent="0.25">
      <c r="C548" s="22"/>
      <c r="D548" s="22"/>
    </row>
    <row r="549" spans="3:4" x14ac:dyDescent="0.25">
      <c r="C549" s="22"/>
      <c r="D549" s="22"/>
    </row>
    <row r="550" spans="3:4" x14ac:dyDescent="0.25">
      <c r="C550" s="22"/>
      <c r="D550" s="22"/>
    </row>
    <row r="551" spans="3:4" x14ac:dyDescent="0.25">
      <c r="C551" s="22"/>
      <c r="D551" s="22"/>
    </row>
    <row r="552" spans="3:4" x14ac:dyDescent="0.25">
      <c r="C552" s="22"/>
      <c r="D552" s="22"/>
    </row>
    <row r="553" spans="3:4" x14ac:dyDescent="0.25">
      <c r="C553" s="22"/>
      <c r="D553" s="22"/>
    </row>
    <row r="554" spans="3:4" x14ac:dyDescent="0.25">
      <c r="C554" s="22"/>
      <c r="D554" s="22"/>
    </row>
    <row r="555" spans="3:4" x14ac:dyDescent="0.25">
      <c r="C555" s="22"/>
      <c r="D555" s="22"/>
    </row>
    <row r="556" spans="3:4" x14ac:dyDescent="0.25">
      <c r="C556" s="22"/>
      <c r="D556" s="22"/>
    </row>
    <row r="557" spans="3:4" x14ac:dyDescent="0.25">
      <c r="C557" s="22"/>
      <c r="D557" s="22"/>
    </row>
    <row r="558" spans="3:4" x14ac:dyDescent="0.25">
      <c r="C558" s="22"/>
      <c r="D558" s="22"/>
    </row>
    <row r="559" spans="3:4" x14ac:dyDescent="0.25">
      <c r="C559" s="22"/>
      <c r="D559" s="22"/>
    </row>
    <row r="560" spans="3:4" x14ac:dyDescent="0.25">
      <c r="C560" s="22"/>
      <c r="D560" s="22"/>
    </row>
    <row r="561" spans="3:4" x14ac:dyDescent="0.25">
      <c r="C561" s="22"/>
      <c r="D561" s="22"/>
    </row>
    <row r="562" spans="3:4" x14ac:dyDescent="0.25">
      <c r="C562" s="22"/>
      <c r="D562" s="22"/>
    </row>
    <row r="563" spans="3:4" x14ac:dyDescent="0.25">
      <c r="C563" s="22"/>
      <c r="D563" s="22"/>
    </row>
    <row r="564" spans="3:4" x14ac:dyDescent="0.25">
      <c r="C564" s="22"/>
      <c r="D564" s="22"/>
    </row>
    <row r="565" spans="3:4" x14ac:dyDescent="0.25">
      <c r="C565" s="22"/>
      <c r="D565" s="22"/>
    </row>
    <row r="566" spans="3:4" x14ac:dyDescent="0.25">
      <c r="C566" s="22"/>
      <c r="D566" s="22"/>
    </row>
    <row r="567" spans="3:4" x14ac:dyDescent="0.25">
      <c r="C567" s="22"/>
      <c r="D567" s="22"/>
    </row>
    <row r="568" spans="3:4" x14ac:dyDescent="0.25">
      <c r="C568" s="22"/>
      <c r="D568" s="22"/>
    </row>
    <row r="569" spans="3:4" x14ac:dyDescent="0.25">
      <c r="C569" s="22"/>
      <c r="D569" s="22"/>
    </row>
    <row r="570" spans="3:4" x14ac:dyDescent="0.25">
      <c r="C570" s="22"/>
      <c r="D570" s="22"/>
    </row>
    <row r="571" spans="3:4" x14ac:dyDescent="0.25">
      <c r="C571" s="22"/>
      <c r="D571" s="22"/>
    </row>
    <row r="572" spans="3:4" x14ac:dyDescent="0.25">
      <c r="C572" s="22"/>
      <c r="D572" s="22"/>
    </row>
    <row r="573" spans="3:4" x14ac:dyDescent="0.25">
      <c r="C573" s="22"/>
      <c r="D573" s="22"/>
    </row>
    <row r="574" spans="3:4" x14ac:dyDescent="0.25">
      <c r="C574" s="22"/>
      <c r="D574" s="22"/>
    </row>
    <row r="575" spans="3:4" x14ac:dyDescent="0.25">
      <c r="C575" s="22"/>
      <c r="D575" s="22"/>
    </row>
    <row r="576" spans="3:4" x14ac:dyDescent="0.25">
      <c r="C576" s="22"/>
      <c r="D576" s="22"/>
    </row>
    <row r="577" spans="3:4" x14ac:dyDescent="0.25">
      <c r="C577" s="22"/>
      <c r="D577" s="22"/>
    </row>
    <row r="578" spans="3:4" x14ac:dyDescent="0.25">
      <c r="C578" s="22"/>
      <c r="D578" s="22"/>
    </row>
    <row r="579" spans="3:4" x14ac:dyDescent="0.25">
      <c r="C579" s="22"/>
      <c r="D579" s="22"/>
    </row>
    <row r="580" spans="3:4" x14ac:dyDescent="0.25">
      <c r="C580" s="22"/>
      <c r="D580" s="22"/>
    </row>
    <row r="581" spans="3:4" x14ac:dyDescent="0.25">
      <c r="C581" s="22"/>
      <c r="D581" s="22"/>
    </row>
    <row r="582" spans="3:4" x14ac:dyDescent="0.25">
      <c r="C582" s="22"/>
      <c r="D582" s="22"/>
    </row>
    <row r="583" spans="3:4" x14ac:dyDescent="0.25">
      <c r="C583" s="22"/>
      <c r="D583" s="22"/>
    </row>
    <row r="584" spans="3:4" x14ac:dyDescent="0.25">
      <c r="C584" s="22"/>
      <c r="D584" s="22"/>
    </row>
    <row r="585" spans="3:4" x14ac:dyDescent="0.25">
      <c r="C585" s="22"/>
      <c r="D585" s="22"/>
    </row>
    <row r="586" spans="3:4" x14ac:dyDescent="0.25">
      <c r="C586" s="22"/>
      <c r="D586" s="22"/>
    </row>
    <row r="587" spans="3:4" x14ac:dyDescent="0.25">
      <c r="C587" s="22"/>
      <c r="D587" s="22"/>
    </row>
    <row r="588" spans="3:4" x14ac:dyDescent="0.25">
      <c r="C588" s="22"/>
      <c r="D588" s="22"/>
    </row>
    <row r="589" spans="3:4" x14ac:dyDescent="0.25">
      <c r="C589" s="22"/>
      <c r="D589" s="22"/>
    </row>
    <row r="590" spans="3:4" x14ac:dyDescent="0.25">
      <c r="C590" s="22"/>
      <c r="D590" s="22"/>
    </row>
    <row r="591" spans="3:4" x14ac:dyDescent="0.25">
      <c r="C591" s="22"/>
      <c r="D591" s="22"/>
    </row>
    <row r="592" spans="3:4" x14ac:dyDescent="0.25">
      <c r="C592" s="22"/>
      <c r="D592" s="22"/>
    </row>
    <row r="593" spans="3:4" x14ac:dyDescent="0.25">
      <c r="C593" s="22"/>
      <c r="D593" s="22"/>
    </row>
    <row r="594" spans="3:4" x14ac:dyDescent="0.25">
      <c r="C594" s="22"/>
      <c r="D594" s="22"/>
    </row>
    <row r="595" spans="3:4" x14ac:dyDescent="0.25">
      <c r="C595" s="22"/>
      <c r="D595" s="22"/>
    </row>
    <row r="596" spans="3:4" x14ac:dyDescent="0.25">
      <c r="C596" s="22"/>
      <c r="D596" s="22"/>
    </row>
    <row r="597" spans="3:4" x14ac:dyDescent="0.25">
      <c r="C597" s="22"/>
      <c r="D597" s="22"/>
    </row>
    <row r="598" spans="3:4" x14ac:dyDescent="0.25">
      <c r="C598" s="22"/>
      <c r="D598" s="22"/>
    </row>
    <row r="599" spans="3:4" x14ac:dyDescent="0.25">
      <c r="C599" s="22"/>
      <c r="D599" s="22"/>
    </row>
    <row r="600" spans="3:4" x14ac:dyDescent="0.25">
      <c r="C600" s="22"/>
      <c r="D600" s="22"/>
    </row>
    <row r="601" spans="3:4" x14ac:dyDescent="0.25">
      <c r="C601" s="22"/>
      <c r="D601" s="22"/>
    </row>
    <row r="602" spans="3:4" x14ac:dyDescent="0.25">
      <c r="C602" s="22"/>
      <c r="D602" s="22"/>
    </row>
    <row r="603" spans="3:4" x14ac:dyDescent="0.25">
      <c r="C603" s="22"/>
      <c r="D603" s="22"/>
    </row>
    <row r="604" spans="3:4" x14ac:dyDescent="0.25">
      <c r="C604" s="22"/>
      <c r="D604" s="22"/>
    </row>
    <row r="605" spans="3:4" x14ac:dyDescent="0.25">
      <c r="C605" s="22"/>
      <c r="D605" s="22"/>
    </row>
    <row r="606" spans="3:4" x14ac:dyDescent="0.25">
      <c r="C606" s="22"/>
      <c r="D606" s="22"/>
    </row>
    <row r="607" spans="3:4" x14ac:dyDescent="0.25">
      <c r="C607" s="22"/>
      <c r="D607" s="22"/>
    </row>
    <row r="608" spans="3:4" x14ac:dyDescent="0.25">
      <c r="C608" s="22"/>
      <c r="D608" s="22"/>
    </row>
    <row r="609" spans="3:4" x14ac:dyDescent="0.25">
      <c r="C609" s="22"/>
      <c r="D609" s="22"/>
    </row>
    <row r="610" spans="3:4" x14ac:dyDescent="0.25">
      <c r="C610" s="22"/>
      <c r="D610" s="22"/>
    </row>
    <row r="611" spans="3:4" x14ac:dyDescent="0.25">
      <c r="C611" s="22"/>
      <c r="D611" s="22"/>
    </row>
    <row r="612" spans="3:4" x14ac:dyDescent="0.25">
      <c r="C612" s="22"/>
      <c r="D612" s="22"/>
    </row>
    <row r="613" spans="3:4" x14ac:dyDescent="0.25">
      <c r="C613" s="22"/>
      <c r="D613" s="22"/>
    </row>
    <row r="614" spans="3:4" x14ac:dyDescent="0.25">
      <c r="C614" s="22"/>
      <c r="D614" s="22"/>
    </row>
    <row r="615" spans="3:4" x14ac:dyDescent="0.25">
      <c r="C615" s="22"/>
      <c r="D615" s="22"/>
    </row>
    <row r="616" spans="3:4" x14ac:dyDescent="0.25">
      <c r="C616" s="22"/>
      <c r="D616" s="22"/>
    </row>
    <row r="617" spans="3:4" x14ac:dyDescent="0.25">
      <c r="C617" s="22"/>
      <c r="D617" s="22"/>
    </row>
    <row r="618" spans="3:4" x14ac:dyDescent="0.25">
      <c r="C618" s="22"/>
      <c r="D618" s="22"/>
    </row>
    <row r="619" spans="3:4" x14ac:dyDescent="0.25">
      <c r="C619" s="22"/>
      <c r="D619" s="22"/>
    </row>
    <row r="620" spans="3:4" x14ac:dyDescent="0.25">
      <c r="C620" s="22"/>
      <c r="D620" s="22"/>
    </row>
    <row r="621" spans="3:4" x14ac:dyDescent="0.25">
      <c r="C621" s="22"/>
      <c r="D621" s="22"/>
    </row>
    <row r="622" spans="3:4" x14ac:dyDescent="0.25">
      <c r="C622" s="22"/>
      <c r="D622" s="22"/>
    </row>
    <row r="623" spans="3:4" x14ac:dyDescent="0.25">
      <c r="C623" s="22"/>
      <c r="D623" s="22"/>
    </row>
    <row r="624" spans="3:4" x14ac:dyDescent="0.25">
      <c r="C624" s="22"/>
      <c r="D624" s="22"/>
    </row>
    <row r="625" spans="3:4" x14ac:dyDescent="0.25">
      <c r="C625" s="22"/>
      <c r="D625" s="22"/>
    </row>
    <row r="626" spans="3:4" x14ac:dyDescent="0.25">
      <c r="C626" s="22"/>
      <c r="D626" s="22"/>
    </row>
    <row r="627" spans="3:4" x14ac:dyDescent="0.25">
      <c r="C627" s="22"/>
      <c r="D627" s="22"/>
    </row>
    <row r="628" spans="3:4" x14ac:dyDescent="0.25">
      <c r="C628" s="22"/>
      <c r="D628" s="22"/>
    </row>
    <row r="629" spans="3:4" x14ac:dyDescent="0.25">
      <c r="C629" s="22"/>
      <c r="D629" s="22"/>
    </row>
    <row r="630" spans="3:4" x14ac:dyDescent="0.25">
      <c r="C630" s="22"/>
      <c r="D630" s="22"/>
    </row>
    <row r="631" spans="3:4" x14ac:dyDescent="0.25">
      <c r="C631" s="22"/>
      <c r="D631" s="22"/>
    </row>
    <row r="632" spans="3:4" x14ac:dyDescent="0.25">
      <c r="C632" s="22"/>
      <c r="D632" s="22"/>
    </row>
    <row r="633" spans="3:4" x14ac:dyDescent="0.25">
      <c r="C633" s="22"/>
      <c r="D633" s="22"/>
    </row>
    <row r="634" spans="3:4" x14ac:dyDescent="0.25">
      <c r="C634" s="22"/>
      <c r="D634" s="22"/>
    </row>
    <row r="635" spans="3:4" x14ac:dyDescent="0.25">
      <c r="C635" s="22"/>
      <c r="D635" s="22"/>
    </row>
    <row r="636" spans="3:4" x14ac:dyDescent="0.25">
      <c r="C636" s="22"/>
      <c r="D636" s="22"/>
    </row>
    <row r="637" spans="3:4" x14ac:dyDescent="0.25">
      <c r="C637" s="22"/>
      <c r="D637" s="22"/>
    </row>
    <row r="638" spans="3:4" x14ac:dyDescent="0.25">
      <c r="C638" s="22"/>
      <c r="D638" s="22"/>
    </row>
    <row r="639" spans="3:4" x14ac:dyDescent="0.25">
      <c r="C639" s="22"/>
      <c r="D639" s="22"/>
    </row>
    <row r="640" spans="3:4" x14ac:dyDescent="0.25">
      <c r="C640" s="22"/>
      <c r="D640" s="22"/>
    </row>
    <row r="641" spans="3:4" x14ac:dyDescent="0.25">
      <c r="C641" s="22"/>
      <c r="D641" s="22"/>
    </row>
    <row r="642" spans="3:4" x14ac:dyDescent="0.25">
      <c r="C642" s="22"/>
      <c r="D642" s="22"/>
    </row>
    <row r="643" spans="3:4" x14ac:dyDescent="0.25">
      <c r="C643" s="22"/>
      <c r="D643" s="22"/>
    </row>
    <row r="644" spans="3:4" x14ac:dyDescent="0.25">
      <c r="C644" s="22"/>
      <c r="D644" s="22"/>
    </row>
    <row r="645" spans="3:4" x14ac:dyDescent="0.25">
      <c r="C645" s="22"/>
      <c r="D645" s="22"/>
    </row>
    <row r="646" spans="3:4" x14ac:dyDescent="0.25">
      <c r="C646" s="22"/>
      <c r="D646" s="22"/>
    </row>
    <row r="647" spans="3:4" x14ac:dyDescent="0.25">
      <c r="C647" s="22"/>
      <c r="D647" s="22"/>
    </row>
    <row r="648" spans="3:4" x14ac:dyDescent="0.25">
      <c r="C648" s="22"/>
      <c r="D648" s="22"/>
    </row>
    <row r="649" spans="3:4" x14ac:dyDescent="0.25">
      <c r="C649" s="22"/>
      <c r="D649" s="22"/>
    </row>
    <row r="650" spans="3:4" x14ac:dyDescent="0.25">
      <c r="C650" s="22"/>
      <c r="D650" s="22"/>
    </row>
    <row r="651" spans="3:4" x14ac:dyDescent="0.25">
      <c r="C651" s="22"/>
      <c r="D651" s="22"/>
    </row>
    <row r="652" spans="3:4" x14ac:dyDescent="0.25">
      <c r="C652" s="22"/>
      <c r="D652" s="22"/>
    </row>
    <row r="653" spans="3:4" x14ac:dyDescent="0.25">
      <c r="C653" s="22"/>
      <c r="D653" s="22"/>
    </row>
    <row r="654" spans="3:4" x14ac:dyDescent="0.25">
      <c r="C654" s="22"/>
      <c r="D654" s="22"/>
    </row>
    <row r="655" spans="3:4" x14ac:dyDescent="0.25">
      <c r="C655" s="22"/>
      <c r="D655" s="22"/>
    </row>
    <row r="656" spans="3:4" x14ac:dyDescent="0.25">
      <c r="C656" s="22"/>
      <c r="D656" s="22"/>
    </row>
    <row r="657" spans="3:4" x14ac:dyDescent="0.25">
      <c r="C657" s="22"/>
      <c r="D657" s="22"/>
    </row>
    <row r="658" spans="3:4" x14ac:dyDescent="0.25">
      <c r="C658" s="22"/>
      <c r="D658" s="22"/>
    </row>
    <row r="659" spans="3:4" x14ac:dyDescent="0.25">
      <c r="C659" s="22"/>
      <c r="D659" s="22"/>
    </row>
    <row r="660" spans="3:4" x14ac:dyDescent="0.25">
      <c r="C660" s="22"/>
      <c r="D660" s="22"/>
    </row>
    <row r="661" spans="3:4" x14ac:dyDescent="0.25">
      <c r="C661" s="22"/>
      <c r="D661" s="22"/>
    </row>
    <row r="662" spans="3:4" x14ac:dyDescent="0.25">
      <c r="C662" s="22"/>
      <c r="D662" s="22"/>
    </row>
    <row r="663" spans="3:4" x14ac:dyDescent="0.25">
      <c r="C663" s="22"/>
      <c r="D663" s="22"/>
    </row>
    <row r="664" spans="3:4" x14ac:dyDescent="0.25">
      <c r="C664" s="22"/>
      <c r="D664" s="22"/>
    </row>
    <row r="665" spans="3:4" x14ac:dyDescent="0.25">
      <c r="C665" s="22"/>
      <c r="D665" s="22"/>
    </row>
    <row r="666" spans="3:4" x14ac:dyDescent="0.25">
      <c r="C666" s="22"/>
      <c r="D666" s="22"/>
    </row>
    <row r="667" spans="3:4" x14ac:dyDescent="0.25">
      <c r="C667" s="22"/>
      <c r="D667" s="22"/>
    </row>
    <row r="668" spans="3:4" x14ac:dyDescent="0.25">
      <c r="C668" s="22"/>
      <c r="D668" s="22"/>
    </row>
    <row r="669" spans="3:4" x14ac:dyDescent="0.25">
      <c r="C669" s="22"/>
      <c r="D669" s="22"/>
    </row>
    <row r="670" spans="3:4" x14ac:dyDescent="0.25">
      <c r="C670" s="22"/>
      <c r="D670" s="22"/>
    </row>
    <row r="671" spans="3:4" x14ac:dyDescent="0.25">
      <c r="C671" s="22"/>
      <c r="D671" s="22"/>
    </row>
    <row r="672" spans="3:4" x14ac:dyDescent="0.25">
      <c r="C672" s="22"/>
      <c r="D672" s="22"/>
    </row>
    <row r="673" spans="3:4" x14ac:dyDescent="0.25">
      <c r="C673" s="22"/>
      <c r="D673" s="22"/>
    </row>
    <row r="674" spans="3:4" x14ac:dyDescent="0.25">
      <c r="C674" s="22"/>
      <c r="D674" s="22"/>
    </row>
    <row r="675" spans="3:4" x14ac:dyDescent="0.25">
      <c r="C675" s="22"/>
      <c r="D675" s="22"/>
    </row>
    <row r="676" spans="3:4" x14ac:dyDescent="0.25">
      <c r="C676" s="22"/>
      <c r="D676" s="22"/>
    </row>
    <row r="677" spans="3:4" x14ac:dyDescent="0.25">
      <c r="C677" s="22"/>
      <c r="D677" s="22"/>
    </row>
    <row r="678" spans="3:4" x14ac:dyDescent="0.25">
      <c r="C678" s="22"/>
      <c r="D678" s="22"/>
    </row>
    <row r="679" spans="3:4" x14ac:dyDescent="0.25">
      <c r="C679" s="22"/>
      <c r="D679" s="22"/>
    </row>
    <row r="680" spans="3:4" x14ac:dyDescent="0.25">
      <c r="C680" s="22"/>
      <c r="D680" s="22"/>
    </row>
    <row r="681" spans="3:4" x14ac:dyDescent="0.25">
      <c r="C681" s="22"/>
      <c r="D681" s="22"/>
    </row>
    <row r="682" spans="3:4" x14ac:dyDescent="0.25">
      <c r="C682" s="22"/>
      <c r="D682" s="22"/>
    </row>
    <row r="683" spans="3:4" x14ac:dyDescent="0.25">
      <c r="C683" s="22"/>
      <c r="D683" s="22"/>
    </row>
    <row r="684" spans="3:4" x14ac:dyDescent="0.25">
      <c r="C684" s="22"/>
      <c r="D684" s="22"/>
    </row>
    <row r="685" spans="3:4" x14ac:dyDescent="0.25">
      <c r="C685" s="22"/>
      <c r="D685" s="22"/>
    </row>
    <row r="686" spans="3:4" x14ac:dyDescent="0.25">
      <c r="C686" s="22"/>
      <c r="D686" s="22"/>
    </row>
    <row r="687" spans="3:4" x14ac:dyDescent="0.25">
      <c r="C687" s="22"/>
      <c r="D687" s="22"/>
    </row>
    <row r="688" spans="3:4" x14ac:dyDescent="0.25">
      <c r="C688" s="22"/>
      <c r="D688" s="22"/>
    </row>
    <row r="689" spans="3:4" x14ac:dyDescent="0.25">
      <c r="C689" s="22"/>
      <c r="D689" s="22"/>
    </row>
    <row r="690" spans="3:4" x14ac:dyDescent="0.25">
      <c r="C690" s="22"/>
      <c r="D690" s="22"/>
    </row>
    <row r="691" spans="3:4" x14ac:dyDescent="0.25">
      <c r="C691" s="22"/>
      <c r="D691" s="22"/>
    </row>
    <row r="692" spans="3:4" x14ac:dyDescent="0.25">
      <c r="C692" s="22"/>
      <c r="D692" s="22"/>
    </row>
    <row r="693" spans="3:4" x14ac:dyDescent="0.25">
      <c r="C693" s="22"/>
      <c r="D693" s="22"/>
    </row>
    <row r="694" spans="3:4" x14ac:dyDescent="0.25">
      <c r="C694" s="22"/>
      <c r="D694" s="22"/>
    </row>
    <row r="695" spans="3:4" x14ac:dyDescent="0.25">
      <c r="C695" s="22"/>
      <c r="D695" s="22"/>
    </row>
    <row r="696" spans="3:4" x14ac:dyDescent="0.25">
      <c r="C696" s="22"/>
      <c r="D696" s="22"/>
    </row>
    <row r="697" spans="3:4" x14ac:dyDescent="0.25">
      <c r="C697" s="22"/>
      <c r="D697" s="22"/>
    </row>
    <row r="698" spans="3:4" x14ac:dyDescent="0.25">
      <c r="C698" s="22"/>
      <c r="D698" s="22"/>
    </row>
    <row r="699" spans="3:4" x14ac:dyDescent="0.25">
      <c r="C699" s="22"/>
      <c r="D699" s="22"/>
    </row>
    <row r="700" spans="3:4" x14ac:dyDescent="0.25">
      <c r="C700" s="22"/>
      <c r="D700" s="22"/>
    </row>
    <row r="701" spans="3:4" x14ac:dyDescent="0.25">
      <c r="C701" s="22"/>
      <c r="D701" s="22"/>
    </row>
    <row r="702" spans="3:4" x14ac:dyDescent="0.25">
      <c r="C702" s="22"/>
      <c r="D702" s="22"/>
    </row>
    <row r="703" spans="3:4" x14ac:dyDescent="0.25">
      <c r="C703" s="22"/>
      <c r="D703" s="22"/>
    </row>
    <row r="704" spans="3:4" x14ac:dyDescent="0.25">
      <c r="C704" s="22"/>
      <c r="D704" s="22"/>
    </row>
    <row r="705" spans="3:4" x14ac:dyDescent="0.25">
      <c r="C705" s="22"/>
      <c r="D705" s="22"/>
    </row>
    <row r="706" spans="3:4" x14ac:dyDescent="0.25">
      <c r="C706" s="22"/>
      <c r="D706" s="22"/>
    </row>
    <row r="707" spans="3:4" x14ac:dyDescent="0.25">
      <c r="C707" s="22"/>
      <c r="D707" s="22"/>
    </row>
    <row r="708" spans="3:4" x14ac:dyDescent="0.25">
      <c r="C708" s="22"/>
      <c r="D708" s="22"/>
    </row>
    <row r="709" spans="3:4" x14ac:dyDescent="0.25">
      <c r="C709" s="22"/>
      <c r="D709" s="22"/>
    </row>
    <row r="710" spans="3:4" x14ac:dyDescent="0.25">
      <c r="C710" s="22"/>
      <c r="D710" s="22"/>
    </row>
    <row r="711" spans="3:4" x14ac:dyDescent="0.25">
      <c r="C711" s="22"/>
      <c r="D711" s="22"/>
    </row>
    <row r="712" spans="3:4" x14ac:dyDescent="0.25">
      <c r="C712" s="22"/>
      <c r="D712" s="22"/>
    </row>
    <row r="713" spans="3:4" x14ac:dyDescent="0.25">
      <c r="C713" s="22"/>
      <c r="D713" s="22"/>
    </row>
    <row r="714" spans="3:4" x14ac:dyDescent="0.25">
      <c r="C714" s="22"/>
      <c r="D714" s="22"/>
    </row>
    <row r="715" spans="3:4" x14ac:dyDescent="0.25">
      <c r="C715" s="22"/>
      <c r="D715" s="22"/>
    </row>
    <row r="716" spans="3:4" x14ac:dyDescent="0.25">
      <c r="C716" s="22"/>
      <c r="D716" s="22"/>
    </row>
    <row r="717" spans="3:4" x14ac:dyDescent="0.25">
      <c r="C717" s="22"/>
      <c r="D717" s="22"/>
    </row>
    <row r="718" spans="3:4" x14ac:dyDescent="0.25">
      <c r="C718" s="22"/>
      <c r="D718" s="22"/>
    </row>
    <row r="719" spans="3:4" x14ac:dyDescent="0.25">
      <c r="C719" s="22"/>
      <c r="D719" s="22"/>
    </row>
    <row r="720" spans="3:4" x14ac:dyDescent="0.25">
      <c r="C720" s="22"/>
      <c r="D720" s="22"/>
    </row>
    <row r="721" spans="3:4" x14ac:dyDescent="0.25">
      <c r="C721" s="22"/>
      <c r="D721" s="22"/>
    </row>
    <row r="722" spans="3:4" x14ac:dyDescent="0.25">
      <c r="C722" s="22"/>
      <c r="D722" s="22"/>
    </row>
    <row r="723" spans="3:4" x14ac:dyDescent="0.25">
      <c r="C723" s="22"/>
      <c r="D723" s="22"/>
    </row>
    <row r="724" spans="3:4" x14ac:dyDescent="0.25">
      <c r="C724" s="22"/>
      <c r="D724" s="22"/>
    </row>
    <row r="725" spans="3:4" x14ac:dyDescent="0.25">
      <c r="C725" s="22"/>
      <c r="D725" s="22"/>
    </row>
    <row r="726" spans="3:4" x14ac:dyDescent="0.25">
      <c r="C726" s="22"/>
      <c r="D726" s="22"/>
    </row>
    <row r="727" spans="3:4" x14ac:dyDescent="0.25">
      <c r="C727" s="22"/>
      <c r="D727" s="22"/>
    </row>
    <row r="728" spans="3:4" x14ac:dyDescent="0.25">
      <c r="C728" s="22"/>
      <c r="D728" s="22"/>
    </row>
    <row r="729" spans="3:4" x14ac:dyDescent="0.25">
      <c r="C729" s="22"/>
      <c r="D729" s="22"/>
    </row>
    <row r="730" spans="3:4" x14ac:dyDescent="0.25">
      <c r="C730" s="22"/>
      <c r="D730" s="22"/>
    </row>
    <row r="731" spans="3:4" x14ac:dyDescent="0.25">
      <c r="C731" s="22"/>
      <c r="D731" s="22"/>
    </row>
    <row r="732" spans="3:4" x14ac:dyDescent="0.25">
      <c r="C732" s="22"/>
      <c r="D732" s="22"/>
    </row>
    <row r="733" spans="3:4" x14ac:dyDescent="0.25">
      <c r="C733" s="22"/>
      <c r="D733" s="22"/>
    </row>
    <row r="734" spans="3:4" x14ac:dyDescent="0.25">
      <c r="C734" s="22"/>
      <c r="D734" s="22"/>
    </row>
    <row r="735" spans="3:4" x14ac:dyDescent="0.25">
      <c r="C735" s="22"/>
      <c r="D735" s="22"/>
    </row>
    <row r="736" spans="3:4" x14ac:dyDescent="0.25">
      <c r="C736" s="22"/>
      <c r="D736" s="22"/>
    </row>
    <row r="737" spans="3:4" x14ac:dyDescent="0.25">
      <c r="C737" s="22"/>
      <c r="D737" s="22"/>
    </row>
    <row r="738" spans="3:4" x14ac:dyDescent="0.25">
      <c r="C738" s="22"/>
      <c r="D738" s="22"/>
    </row>
    <row r="739" spans="3:4" x14ac:dyDescent="0.25">
      <c r="C739" s="22"/>
      <c r="D739" s="22"/>
    </row>
    <row r="740" spans="3:4" x14ac:dyDescent="0.25">
      <c r="C740" s="22"/>
      <c r="D740" s="22"/>
    </row>
    <row r="741" spans="3:4" x14ac:dyDescent="0.25">
      <c r="C741" s="22"/>
      <c r="D741" s="22"/>
    </row>
    <row r="742" spans="3:4" x14ac:dyDescent="0.25">
      <c r="C742" s="22"/>
      <c r="D742" s="22"/>
    </row>
    <row r="743" spans="3:4" x14ac:dyDescent="0.25">
      <c r="C743" s="22"/>
      <c r="D743" s="22"/>
    </row>
    <row r="744" spans="3:4" x14ac:dyDescent="0.25">
      <c r="C744" s="22"/>
      <c r="D744" s="22"/>
    </row>
    <row r="745" spans="3:4" x14ac:dyDescent="0.25">
      <c r="C745" s="22"/>
      <c r="D745" s="22"/>
    </row>
    <row r="746" spans="3:4" x14ac:dyDescent="0.25">
      <c r="C746" s="22"/>
      <c r="D746" s="22"/>
    </row>
    <row r="747" spans="3:4" x14ac:dyDescent="0.25">
      <c r="C747" s="22"/>
      <c r="D747" s="22"/>
    </row>
    <row r="748" spans="3:4" x14ac:dyDescent="0.25">
      <c r="C748" s="22"/>
      <c r="D748" s="22"/>
    </row>
    <row r="749" spans="3:4" x14ac:dyDescent="0.25">
      <c r="C749" s="22"/>
      <c r="D749" s="22"/>
    </row>
    <row r="750" spans="3:4" x14ac:dyDescent="0.25">
      <c r="C750" s="22"/>
      <c r="D750" s="22"/>
    </row>
    <row r="751" spans="3:4" x14ac:dyDescent="0.25">
      <c r="C751" s="22"/>
      <c r="D751" s="22"/>
    </row>
    <row r="752" spans="3:4" x14ac:dyDescent="0.25">
      <c r="C752" s="22"/>
      <c r="D752" s="22"/>
    </row>
    <row r="753" spans="3:4" x14ac:dyDescent="0.25">
      <c r="C753" s="22"/>
      <c r="D753" s="22"/>
    </row>
    <row r="754" spans="3:4" x14ac:dyDescent="0.25">
      <c r="C754" s="22"/>
      <c r="D754" s="22"/>
    </row>
    <row r="755" spans="3:4" x14ac:dyDescent="0.25">
      <c r="C755" s="22"/>
      <c r="D755" s="22"/>
    </row>
    <row r="756" spans="3:4" x14ac:dyDescent="0.25">
      <c r="C756" s="22"/>
      <c r="D756" s="22"/>
    </row>
    <row r="757" spans="3:4" x14ac:dyDescent="0.25">
      <c r="C757" s="22"/>
      <c r="D757" s="22"/>
    </row>
    <row r="758" spans="3:4" x14ac:dyDescent="0.25">
      <c r="C758" s="22"/>
      <c r="D758" s="22"/>
    </row>
    <row r="759" spans="3:4" x14ac:dyDescent="0.25">
      <c r="C759" s="22"/>
      <c r="D759" s="22"/>
    </row>
    <row r="760" spans="3:4" x14ac:dyDescent="0.25">
      <c r="C760" s="22"/>
      <c r="D760" s="22"/>
    </row>
    <row r="761" spans="3:4" x14ac:dyDescent="0.25">
      <c r="C761" s="22"/>
      <c r="D761" s="22"/>
    </row>
    <row r="762" spans="3:4" x14ac:dyDescent="0.25">
      <c r="C762" s="22"/>
      <c r="D762" s="22"/>
    </row>
    <row r="763" spans="3:4" x14ac:dyDescent="0.25">
      <c r="C763" s="22"/>
      <c r="D763" s="22"/>
    </row>
    <row r="764" spans="3:4" x14ac:dyDescent="0.25">
      <c r="C764" s="22"/>
      <c r="D764" s="22"/>
    </row>
    <row r="765" spans="3:4" x14ac:dyDescent="0.25">
      <c r="C765" s="22"/>
      <c r="D765" s="22"/>
    </row>
    <row r="766" spans="3:4" x14ac:dyDescent="0.25">
      <c r="C766" s="22"/>
      <c r="D766" s="22"/>
    </row>
    <row r="767" spans="3:4" x14ac:dyDescent="0.25">
      <c r="C767" s="22"/>
      <c r="D767" s="22"/>
    </row>
    <row r="768" spans="3:4" x14ac:dyDescent="0.25">
      <c r="C768" s="22"/>
      <c r="D768" s="22"/>
    </row>
    <row r="769" spans="3:4" x14ac:dyDescent="0.25">
      <c r="C769" s="22"/>
      <c r="D769" s="22"/>
    </row>
    <row r="770" spans="3:4" x14ac:dyDescent="0.25">
      <c r="C770" s="22"/>
      <c r="D770" s="22"/>
    </row>
    <row r="771" spans="3:4" x14ac:dyDescent="0.25">
      <c r="C771" s="22"/>
      <c r="D771" s="22"/>
    </row>
    <row r="772" spans="3:4" x14ac:dyDescent="0.25">
      <c r="C772" s="22"/>
      <c r="D772" s="22"/>
    </row>
    <row r="773" spans="3:4" x14ac:dyDescent="0.25">
      <c r="C773" s="22"/>
      <c r="D773" s="22"/>
    </row>
    <row r="774" spans="3:4" x14ac:dyDescent="0.25">
      <c r="C774" s="22"/>
      <c r="D774" s="22"/>
    </row>
    <row r="775" spans="3:4" x14ac:dyDescent="0.25">
      <c r="C775" s="22"/>
      <c r="D775" s="22"/>
    </row>
    <row r="776" spans="3:4" x14ac:dyDescent="0.25">
      <c r="C776" s="22"/>
      <c r="D776" s="22"/>
    </row>
    <row r="777" spans="3:4" x14ac:dyDescent="0.25">
      <c r="C777" s="22"/>
      <c r="D777" s="22"/>
    </row>
    <row r="778" spans="3:4" x14ac:dyDescent="0.25">
      <c r="C778" s="22"/>
      <c r="D778" s="22"/>
    </row>
    <row r="779" spans="3:4" x14ac:dyDescent="0.25">
      <c r="C779" s="22"/>
      <c r="D779" s="22"/>
    </row>
    <row r="780" spans="3:4" x14ac:dyDescent="0.25">
      <c r="C780" s="22"/>
      <c r="D780" s="22"/>
    </row>
    <row r="781" spans="3:4" x14ac:dyDescent="0.25">
      <c r="C781" s="22"/>
      <c r="D781" s="22"/>
    </row>
    <row r="782" spans="3:4" x14ac:dyDescent="0.25">
      <c r="C782" s="22"/>
      <c r="D782" s="22"/>
    </row>
    <row r="783" spans="3:4" x14ac:dyDescent="0.25">
      <c r="C783" s="22"/>
      <c r="D783" s="22"/>
    </row>
    <row r="784" spans="3:4" x14ac:dyDescent="0.25">
      <c r="C784" s="22"/>
      <c r="D784" s="22"/>
    </row>
    <row r="785" spans="3:4" x14ac:dyDescent="0.25">
      <c r="C785" s="22"/>
      <c r="D785" s="22"/>
    </row>
    <row r="786" spans="3:4" x14ac:dyDescent="0.25">
      <c r="C786" s="22"/>
      <c r="D786" s="22"/>
    </row>
    <row r="787" spans="3:4" x14ac:dyDescent="0.25">
      <c r="C787" s="22"/>
      <c r="D787" s="22"/>
    </row>
    <row r="788" spans="3:4" x14ac:dyDescent="0.25">
      <c r="C788" s="22"/>
      <c r="D788" s="22"/>
    </row>
    <row r="789" spans="3:4" x14ac:dyDescent="0.25">
      <c r="C789" s="22"/>
      <c r="D789" s="22"/>
    </row>
    <row r="790" spans="3:4" x14ac:dyDescent="0.25">
      <c r="C790" s="22"/>
      <c r="D790" s="22"/>
    </row>
    <row r="791" spans="3:4" x14ac:dyDescent="0.25">
      <c r="C791" s="22"/>
      <c r="D791" s="22"/>
    </row>
    <row r="792" spans="3:4" x14ac:dyDescent="0.25">
      <c r="C792" s="22"/>
      <c r="D792" s="22"/>
    </row>
    <row r="793" spans="3:4" x14ac:dyDescent="0.25">
      <c r="C793" s="22"/>
      <c r="D793" s="22"/>
    </row>
    <row r="794" spans="3:4" x14ac:dyDescent="0.25">
      <c r="C794" s="22"/>
      <c r="D794" s="22"/>
    </row>
    <row r="795" spans="3:4" x14ac:dyDescent="0.25">
      <c r="C795" s="22"/>
      <c r="D795" s="22"/>
    </row>
    <row r="796" spans="3:4" x14ac:dyDescent="0.25">
      <c r="C796" s="22"/>
      <c r="D796" s="22"/>
    </row>
    <row r="797" spans="3:4" x14ac:dyDescent="0.25">
      <c r="C797" s="22"/>
      <c r="D797" s="22"/>
    </row>
    <row r="798" spans="3:4" x14ac:dyDescent="0.25">
      <c r="C798" s="22"/>
      <c r="D798" s="22"/>
    </row>
    <row r="799" spans="3:4" x14ac:dyDescent="0.25">
      <c r="C799" s="22"/>
      <c r="D799" s="22"/>
    </row>
    <row r="800" spans="3:4" x14ac:dyDescent="0.25">
      <c r="C800" s="22"/>
      <c r="D800" s="22"/>
    </row>
    <row r="801" spans="3:4" x14ac:dyDescent="0.25">
      <c r="C801" s="22"/>
      <c r="D801" s="22"/>
    </row>
    <row r="802" spans="3:4" x14ac:dyDescent="0.25">
      <c r="C802" s="22"/>
      <c r="D802" s="22"/>
    </row>
    <row r="803" spans="3:4" x14ac:dyDescent="0.25">
      <c r="C803" s="22"/>
      <c r="D803" s="22"/>
    </row>
    <row r="804" spans="3:4" x14ac:dyDescent="0.25">
      <c r="C804" s="22"/>
      <c r="D804" s="22"/>
    </row>
    <row r="805" spans="3:4" x14ac:dyDescent="0.25">
      <c r="C805" s="22"/>
      <c r="D805" s="22"/>
    </row>
    <row r="806" spans="3:4" x14ac:dyDescent="0.25">
      <c r="C806" s="22"/>
      <c r="D806" s="22"/>
    </row>
    <row r="807" spans="3:4" x14ac:dyDescent="0.25">
      <c r="C807" s="22"/>
      <c r="D807" s="22"/>
    </row>
    <row r="808" spans="3:4" x14ac:dyDescent="0.25">
      <c r="C808" s="22"/>
      <c r="D808" s="22"/>
    </row>
    <row r="809" spans="3:4" x14ac:dyDescent="0.25">
      <c r="C809" s="22"/>
      <c r="D809" s="22"/>
    </row>
    <row r="810" spans="3:4" x14ac:dyDescent="0.25">
      <c r="C810" s="22"/>
      <c r="D810" s="22"/>
    </row>
    <row r="811" spans="3:4" x14ac:dyDescent="0.25">
      <c r="C811" s="22"/>
      <c r="D811" s="22"/>
    </row>
    <row r="812" spans="3:4" x14ac:dyDescent="0.25">
      <c r="C812" s="22"/>
      <c r="D812" s="22"/>
    </row>
    <row r="813" spans="3:4" x14ac:dyDescent="0.25">
      <c r="C813" s="22"/>
      <c r="D813" s="22"/>
    </row>
    <row r="814" spans="3:4" x14ac:dyDescent="0.25">
      <c r="C814" s="22"/>
      <c r="D814" s="22"/>
    </row>
    <row r="815" spans="3:4" x14ac:dyDescent="0.25">
      <c r="C815" s="22"/>
      <c r="D815" s="22"/>
    </row>
    <row r="816" spans="3:4" x14ac:dyDescent="0.25">
      <c r="C816" s="22"/>
      <c r="D816" s="22"/>
    </row>
    <row r="817" spans="3:4" x14ac:dyDescent="0.25">
      <c r="C817" s="22"/>
      <c r="D817" s="22"/>
    </row>
    <row r="818" spans="3:4" x14ac:dyDescent="0.25">
      <c r="C818" s="22"/>
      <c r="D818" s="22"/>
    </row>
    <row r="819" spans="3:4" x14ac:dyDescent="0.25">
      <c r="C819" s="22"/>
      <c r="D819" s="22"/>
    </row>
    <row r="820" spans="3:4" x14ac:dyDescent="0.25">
      <c r="C820" s="22"/>
      <c r="D820" s="22"/>
    </row>
    <row r="821" spans="3:4" x14ac:dyDescent="0.25">
      <c r="C821" s="22"/>
      <c r="D821" s="22"/>
    </row>
    <row r="822" spans="3:4" x14ac:dyDescent="0.25">
      <c r="C822" s="22"/>
      <c r="D822" s="22"/>
    </row>
    <row r="823" spans="3:4" x14ac:dyDescent="0.25">
      <c r="C823" s="22"/>
      <c r="D823" s="22"/>
    </row>
    <row r="824" spans="3:4" x14ac:dyDescent="0.25">
      <c r="C824" s="22"/>
      <c r="D824" s="22"/>
    </row>
    <row r="825" spans="3:4" x14ac:dyDescent="0.25">
      <c r="C825" s="22"/>
      <c r="D825" s="22"/>
    </row>
    <row r="826" spans="3:4" x14ac:dyDescent="0.25">
      <c r="C826" s="22"/>
      <c r="D826" s="22"/>
    </row>
    <row r="827" spans="3:4" x14ac:dyDescent="0.25">
      <c r="C827" s="22"/>
      <c r="D827" s="22"/>
    </row>
    <row r="828" spans="3:4" x14ac:dyDescent="0.25">
      <c r="C828" s="22"/>
      <c r="D828" s="22"/>
    </row>
    <row r="829" spans="3:4" x14ac:dyDescent="0.25">
      <c r="C829" s="22"/>
      <c r="D829" s="22"/>
    </row>
    <row r="830" spans="3:4" x14ac:dyDescent="0.25">
      <c r="C830" s="22"/>
      <c r="D830" s="22"/>
    </row>
    <row r="831" spans="3:4" x14ac:dyDescent="0.25">
      <c r="C831" s="22"/>
      <c r="D831" s="22"/>
    </row>
    <row r="832" spans="3:4" x14ac:dyDescent="0.25">
      <c r="C832" s="22"/>
      <c r="D832" s="22"/>
    </row>
    <row r="833" spans="3:4" x14ac:dyDescent="0.25">
      <c r="C833" s="22"/>
      <c r="D833" s="22"/>
    </row>
    <row r="834" spans="3:4" x14ac:dyDescent="0.25">
      <c r="C834" s="22"/>
      <c r="D834" s="22"/>
    </row>
    <row r="835" spans="3:4" x14ac:dyDescent="0.25">
      <c r="C835" s="22"/>
      <c r="D835" s="22"/>
    </row>
    <row r="836" spans="3:4" x14ac:dyDescent="0.25">
      <c r="C836" s="22"/>
      <c r="D836" s="22"/>
    </row>
    <row r="837" spans="3:4" x14ac:dyDescent="0.25">
      <c r="C837" s="22"/>
      <c r="D837" s="22"/>
    </row>
    <row r="838" spans="3:4" x14ac:dyDescent="0.25">
      <c r="C838" s="22"/>
      <c r="D838" s="22"/>
    </row>
    <row r="839" spans="3:4" x14ac:dyDescent="0.25">
      <c r="C839" s="22"/>
      <c r="D839" s="22"/>
    </row>
    <row r="840" spans="3:4" x14ac:dyDescent="0.25">
      <c r="C840" s="22"/>
      <c r="D840" s="22"/>
    </row>
    <row r="841" spans="3:4" x14ac:dyDescent="0.25">
      <c r="C841" s="22"/>
      <c r="D841" s="22"/>
    </row>
    <row r="842" spans="3:4" x14ac:dyDescent="0.25">
      <c r="C842" s="22"/>
      <c r="D842" s="22"/>
    </row>
    <row r="843" spans="3:4" x14ac:dyDescent="0.25">
      <c r="C843" s="22"/>
      <c r="D843" s="22"/>
    </row>
    <row r="844" spans="3:4" x14ac:dyDescent="0.25">
      <c r="C844" s="22"/>
      <c r="D844" s="22"/>
    </row>
    <row r="845" spans="3:4" x14ac:dyDescent="0.25">
      <c r="C845" s="22"/>
      <c r="D845" s="22"/>
    </row>
    <row r="846" spans="3:4" x14ac:dyDescent="0.25">
      <c r="C846" s="22"/>
      <c r="D846" s="22"/>
    </row>
    <row r="847" spans="3:4" x14ac:dyDescent="0.25">
      <c r="C847" s="22"/>
      <c r="D847" s="22"/>
    </row>
    <row r="848" spans="3:4" x14ac:dyDescent="0.25">
      <c r="C848" s="22"/>
      <c r="D848" s="22"/>
    </row>
    <row r="849" spans="3:4" x14ac:dyDescent="0.25">
      <c r="C849" s="22"/>
      <c r="D849" s="22"/>
    </row>
    <row r="850" spans="3:4" x14ac:dyDescent="0.25">
      <c r="C850" s="22"/>
      <c r="D850" s="22"/>
    </row>
    <row r="851" spans="3:4" x14ac:dyDescent="0.25">
      <c r="C851" s="22"/>
      <c r="D851" s="22"/>
    </row>
    <row r="852" spans="3:4" x14ac:dyDescent="0.25">
      <c r="C852" s="22"/>
      <c r="D852" s="22"/>
    </row>
    <row r="853" spans="3:4" x14ac:dyDescent="0.25">
      <c r="C853" s="22"/>
      <c r="D853" s="22"/>
    </row>
    <row r="854" spans="3:4" x14ac:dyDescent="0.25">
      <c r="C854" s="22"/>
      <c r="D854" s="22"/>
    </row>
    <row r="855" spans="3:4" x14ac:dyDescent="0.25">
      <c r="C855" s="22"/>
      <c r="D855" s="22"/>
    </row>
    <row r="856" spans="3:4" x14ac:dyDescent="0.25">
      <c r="C856" s="22"/>
      <c r="D856" s="22"/>
    </row>
    <row r="857" spans="3:4" x14ac:dyDescent="0.25">
      <c r="C857" s="22"/>
      <c r="D857" s="22"/>
    </row>
    <row r="858" spans="3:4" x14ac:dyDescent="0.25">
      <c r="C858" s="22"/>
      <c r="D858" s="22"/>
    </row>
    <row r="859" spans="3:4" x14ac:dyDescent="0.25">
      <c r="C859" s="22"/>
      <c r="D859" s="22"/>
    </row>
    <row r="860" spans="3:4" x14ac:dyDescent="0.25">
      <c r="C860" s="22"/>
      <c r="D860" s="22"/>
    </row>
    <row r="861" spans="3:4" x14ac:dyDescent="0.25">
      <c r="C861" s="22"/>
      <c r="D861" s="22"/>
    </row>
    <row r="862" spans="3:4" x14ac:dyDescent="0.25">
      <c r="C862" s="22"/>
      <c r="D862" s="22"/>
    </row>
    <row r="863" spans="3:4" x14ac:dyDescent="0.25">
      <c r="C863" s="22"/>
      <c r="D863" s="22"/>
    </row>
    <row r="864" spans="3:4" x14ac:dyDescent="0.25">
      <c r="C864" s="22"/>
      <c r="D864" s="22"/>
    </row>
    <row r="865" spans="3:4" x14ac:dyDescent="0.25">
      <c r="C865" s="22"/>
      <c r="D865" s="22"/>
    </row>
    <row r="866" spans="3:4" x14ac:dyDescent="0.25">
      <c r="C866" s="22"/>
      <c r="D866" s="22"/>
    </row>
    <row r="867" spans="3:4" x14ac:dyDescent="0.25">
      <c r="C867" s="22"/>
      <c r="D867" s="22"/>
    </row>
    <row r="868" spans="3:4" x14ac:dyDescent="0.25">
      <c r="C868" s="22"/>
      <c r="D868" s="22"/>
    </row>
    <row r="869" spans="3:4" x14ac:dyDescent="0.25">
      <c r="C869" s="22"/>
      <c r="D869" s="22"/>
    </row>
    <row r="870" spans="3:4" x14ac:dyDescent="0.25">
      <c r="C870" s="22"/>
      <c r="D870" s="22"/>
    </row>
    <row r="871" spans="3:4" x14ac:dyDescent="0.25">
      <c r="C871" s="22"/>
      <c r="D871" s="22"/>
    </row>
    <row r="872" spans="3:4" x14ac:dyDescent="0.25">
      <c r="C872" s="22"/>
      <c r="D872" s="22"/>
    </row>
    <row r="873" spans="3:4" x14ac:dyDescent="0.25">
      <c r="C873" s="22"/>
      <c r="D873" s="22"/>
    </row>
    <row r="874" spans="3:4" x14ac:dyDescent="0.25">
      <c r="C874" s="22"/>
      <c r="D874" s="22"/>
    </row>
    <row r="875" spans="3:4" x14ac:dyDescent="0.25">
      <c r="C875" s="22"/>
      <c r="D875" s="22"/>
    </row>
    <row r="876" spans="3:4" x14ac:dyDescent="0.25">
      <c r="C876" s="22"/>
      <c r="D876" s="22"/>
    </row>
    <row r="877" spans="3:4" x14ac:dyDescent="0.25">
      <c r="C877" s="22"/>
      <c r="D877" s="22"/>
    </row>
    <row r="878" spans="3:4" x14ac:dyDescent="0.25">
      <c r="C878" s="22"/>
      <c r="D878" s="22"/>
    </row>
    <row r="879" spans="3:4" x14ac:dyDescent="0.25">
      <c r="C879" s="22"/>
      <c r="D879" s="22"/>
    </row>
    <row r="880" spans="3:4" x14ac:dyDescent="0.25">
      <c r="C880" s="22"/>
      <c r="D880" s="22"/>
    </row>
    <row r="881" spans="3:4" x14ac:dyDescent="0.25">
      <c r="C881" s="22"/>
      <c r="D881" s="22"/>
    </row>
    <row r="882" spans="3:4" x14ac:dyDescent="0.25">
      <c r="C882" s="22"/>
      <c r="D882" s="22"/>
    </row>
    <row r="883" spans="3:4" x14ac:dyDescent="0.25">
      <c r="C883" s="22"/>
      <c r="D883" s="22"/>
    </row>
    <row r="884" spans="3:4" x14ac:dyDescent="0.25">
      <c r="C884" s="22"/>
      <c r="D884" s="22"/>
    </row>
    <row r="885" spans="3:4" x14ac:dyDescent="0.25">
      <c r="C885" s="22"/>
      <c r="D885" s="22"/>
    </row>
    <row r="886" spans="3:4" x14ac:dyDescent="0.25">
      <c r="C886" s="22"/>
      <c r="D886" s="22"/>
    </row>
    <row r="887" spans="3:4" x14ac:dyDescent="0.25">
      <c r="C887" s="22"/>
      <c r="D887" s="22"/>
    </row>
    <row r="888" spans="3:4" x14ac:dyDescent="0.25">
      <c r="C888" s="22"/>
      <c r="D888" s="22"/>
    </row>
    <row r="889" spans="3:4" x14ac:dyDescent="0.25">
      <c r="C889" s="22"/>
      <c r="D889" s="22"/>
    </row>
    <row r="890" spans="3:4" x14ac:dyDescent="0.25">
      <c r="C890" s="22"/>
      <c r="D890" s="22"/>
    </row>
    <row r="891" spans="3:4" x14ac:dyDescent="0.25">
      <c r="C891" s="22"/>
      <c r="D891" s="22"/>
    </row>
    <row r="892" spans="3:4" x14ac:dyDescent="0.25">
      <c r="C892" s="22"/>
      <c r="D892" s="22"/>
    </row>
    <row r="893" spans="3:4" x14ac:dyDescent="0.25">
      <c r="C893" s="22"/>
      <c r="D893" s="22"/>
    </row>
    <row r="894" spans="3:4" x14ac:dyDescent="0.25">
      <c r="C894" s="22"/>
      <c r="D894" s="22"/>
    </row>
    <row r="895" spans="3:4" x14ac:dyDescent="0.25">
      <c r="C895" s="22"/>
      <c r="D895" s="22"/>
    </row>
    <row r="896" spans="3:4" x14ac:dyDescent="0.25">
      <c r="C896" s="22"/>
      <c r="D896" s="22"/>
    </row>
    <row r="897" spans="3:4" x14ac:dyDescent="0.25">
      <c r="C897" s="22"/>
      <c r="D897" s="22"/>
    </row>
    <row r="898" spans="3:4" x14ac:dyDescent="0.25">
      <c r="C898" s="22"/>
      <c r="D898" s="22"/>
    </row>
    <row r="899" spans="3:4" x14ac:dyDescent="0.25">
      <c r="C899" s="22"/>
      <c r="D899" s="22"/>
    </row>
    <row r="900" spans="3:4" x14ac:dyDescent="0.25">
      <c r="C900" s="22"/>
      <c r="D900" s="22"/>
    </row>
    <row r="901" spans="3:4" x14ac:dyDescent="0.25">
      <c r="C901" s="22"/>
      <c r="D901" s="22"/>
    </row>
    <row r="902" spans="3:4" x14ac:dyDescent="0.25">
      <c r="C902" s="22"/>
      <c r="D902" s="22"/>
    </row>
    <row r="903" spans="3:4" x14ac:dyDescent="0.25">
      <c r="C903" s="22"/>
      <c r="D903" s="22"/>
    </row>
    <row r="904" spans="3:4" x14ac:dyDescent="0.25">
      <c r="C904" s="22"/>
      <c r="D904" s="22"/>
    </row>
    <row r="905" spans="3:4" x14ac:dyDescent="0.25">
      <c r="C905" s="22"/>
      <c r="D905" s="22"/>
    </row>
    <row r="906" spans="3:4" x14ac:dyDescent="0.25">
      <c r="C906" s="22"/>
      <c r="D906" s="22"/>
    </row>
    <row r="907" spans="3:4" x14ac:dyDescent="0.25">
      <c r="C907" s="22"/>
      <c r="D907" s="22"/>
    </row>
    <row r="908" spans="3:4" x14ac:dyDescent="0.25">
      <c r="C908" s="22"/>
      <c r="D908" s="22"/>
    </row>
    <row r="909" spans="3:4" x14ac:dyDescent="0.25">
      <c r="C909" s="22"/>
      <c r="D909" s="22"/>
    </row>
    <row r="910" spans="3:4" x14ac:dyDescent="0.25">
      <c r="C910" s="22"/>
      <c r="D910" s="22"/>
    </row>
    <row r="911" spans="3:4" x14ac:dyDescent="0.25">
      <c r="C911" s="22"/>
      <c r="D911" s="22"/>
    </row>
    <row r="912" spans="3:4" x14ac:dyDescent="0.25">
      <c r="C912" s="22"/>
      <c r="D912" s="22"/>
    </row>
    <row r="913" spans="3:4" x14ac:dyDescent="0.25">
      <c r="C913" s="22"/>
      <c r="D913" s="22"/>
    </row>
    <row r="914" spans="3:4" x14ac:dyDescent="0.25">
      <c r="C914" s="22"/>
      <c r="D914" s="22"/>
    </row>
    <row r="915" spans="3:4" x14ac:dyDescent="0.25">
      <c r="C915" s="22"/>
      <c r="D915" s="22"/>
    </row>
    <row r="916" spans="3:4" x14ac:dyDescent="0.25">
      <c r="C916" s="22"/>
      <c r="D916" s="22"/>
    </row>
    <row r="917" spans="3:4" x14ac:dyDescent="0.25">
      <c r="C917" s="22"/>
      <c r="D917" s="22"/>
    </row>
    <row r="918" spans="3:4" x14ac:dyDescent="0.25">
      <c r="C918" s="22"/>
      <c r="D918" s="22"/>
    </row>
    <row r="919" spans="3:4" x14ac:dyDescent="0.25">
      <c r="C919" s="22"/>
      <c r="D919" s="22"/>
    </row>
    <row r="920" spans="3:4" x14ac:dyDescent="0.25">
      <c r="C920" s="22"/>
      <c r="D920" s="22"/>
    </row>
    <row r="921" spans="3:4" x14ac:dyDescent="0.25">
      <c r="C921" s="22"/>
      <c r="D921" s="22"/>
    </row>
    <row r="922" spans="3:4" x14ac:dyDescent="0.25">
      <c r="C922" s="22"/>
      <c r="D922" s="22"/>
    </row>
    <row r="923" spans="3:4" x14ac:dyDescent="0.25">
      <c r="C923" s="22"/>
      <c r="D923" s="22"/>
    </row>
    <row r="924" spans="3:4" x14ac:dyDescent="0.25">
      <c r="C924" s="22"/>
      <c r="D924" s="22"/>
    </row>
    <row r="925" spans="3:4" x14ac:dyDescent="0.25">
      <c r="C925" s="22"/>
      <c r="D925" s="22"/>
    </row>
    <row r="926" spans="3:4" x14ac:dyDescent="0.25">
      <c r="C926" s="22"/>
      <c r="D926" s="22"/>
    </row>
    <row r="927" spans="3:4" x14ac:dyDescent="0.25">
      <c r="C927" s="22"/>
      <c r="D927" s="22"/>
    </row>
    <row r="928" spans="3:4" x14ac:dyDescent="0.25">
      <c r="C928" s="22"/>
      <c r="D928" s="22"/>
    </row>
    <row r="929" spans="3:4" x14ac:dyDescent="0.25">
      <c r="C929" s="22"/>
      <c r="D929" s="22"/>
    </row>
    <row r="930" spans="3:4" x14ac:dyDescent="0.25">
      <c r="C930" s="22"/>
      <c r="D930" s="22"/>
    </row>
    <row r="931" spans="3:4" x14ac:dyDescent="0.25">
      <c r="C931" s="22"/>
      <c r="D931" s="22"/>
    </row>
    <row r="932" spans="3:4" x14ac:dyDescent="0.25">
      <c r="C932" s="22"/>
      <c r="D932" s="22"/>
    </row>
    <row r="933" spans="3:4" x14ac:dyDescent="0.25">
      <c r="C933" s="22"/>
      <c r="D933" s="22"/>
    </row>
    <row r="934" spans="3:4" x14ac:dyDescent="0.25">
      <c r="C934" s="22"/>
      <c r="D934" s="22"/>
    </row>
    <row r="935" spans="3:4" x14ac:dyDescent="0.25">
      <c r="C935" s="22"/>
      <c r="D935" s="22"/>
    </row>
    <row r="936" spans="3:4" x14ac:dyDescent="0.25">
      <c r="C936" s="22"/>
      <c r="D936" s="22"/>
    </row>
    <row r="937" spans="3:4" x14ac:dyDescent="0.25">
      <c r="C937" s="22"/>
      <c r="D937" s="22"/>
    </row>
    <row r="938" spans="3:4" x14ac:dyDescent="0.25">
      <c r="C938" s="22"/>
      <c r="D938" s="22"/>
    </row>
    <row r="939" spans="3:4" x14ac:dyDescent="0.25">
      <c r="C939" s="22"/>
      <c r="D939" s="22"/>
    </row>
    <row r="940" spans="3:4" x14ac:dyDescent="0.25">
      <c r="C940" s="22"/>
      <c r="D940" s="22"/>
    </row>
    <row r="941" spans="3:4" x14ac:dyDescent="0.25">
      <c r="C941" s="22"/>
      <c r="D941" s="22"/>
    </row>
    <row r="942" spans="3:4" x14ac:dyDescent="0.25">
      <c r="C942" s="22"/>
      <c r="D942" s="22"/>
    </row>
    <row r="943" spans="3:4" x14ac:dyDescent="0.25">
      <c r="C943" s="22"/>
      <c r="D943" s="22"/>
    </row>
    <row r="944" spans="3:4" x14ac:dyDescent="0.25">
      <c r="C944" s="22"/>
      <c r="D944" s="22"/>
    </row>
    <row r="945" spans="3:4" x14ac:dyDescent="0.25">
      <c r="C945" s="22"/>
      <c r="D945" s="22"/>
    </row>
    <row r="946" spans="3:4" x14ac:dyDescent="0.25">
      <c r="C946" s="22"/>
      <c r="D946" s="22"/>
    </row>
    <row r="947" spans="3:4" x14ac:dyDescent="0.25">
      <c r="C947" s="22"/>
      <c r="D947" s="22"/>
    </row>
    <row r="948" spans="3:4" x14ac:dyDescent="0.25">
      <c r="C948" s="22"/>
      <c r="D948" s="22"/>
    </row>
    <row r="949" spans="3:4" x14ac:dyDescent="0.25">
      <c r="C949" s="22"/>
      <c r="D949" s="22"/>
    </row>
    <row r="950" spans="3:4" x14ac:dyDescent="0.25">
      <c r="C950" s="22"/>
      <c r="D950" s="22"/>
    </row>
    <row r="951" spans="3:4" x14ac:dyDescent="0.25">
      <c r="C951" s="22"/>
      <c r="D951" s="22"/>
    </row>
    <row r="952" spans="3:4" x14ac:dyDescent="0.25">
      <c r="C952" s="22"/>
      <c r="D952" s="22"/>
    </row>
    <row r="953" spans="3:4" x14ac:dyDescent="0.25">
      <c r="C953" s="22"/>
      <c r="D953" s="22"/>
    </row>
    <row r="954" spans="3:4" x14ac:dyDescent="0.25">
      <c r="C954" s="22"/>
      <c r="D954" s="22"/>
    </row>
    <row r="955" spans="3:4" x14ac:dyDescent="0.25">
      <c r="C955" s="22"/>
      <c r="D955" s="22"/>
    </row>
    <row r="956" spans="3:4" x14ac:dyDescent="0.25">
      <c r="C956" s="22"/>
      <c r="D956" s="22"/>
    </row>
    <row r="957" spans="3:4" x14ac:dyDescent="0.25">
      <c r="C957" s="22"/>
      <c r="D957" s="22"/>
    </row>
    <row r="958" spans="3:4" x14ac:dyDescent="0.25">
      <c r="C958" s="22"/>
      <c r="D958" s="22"/>
    </row>
    <row r="959" spans="3:4" x14ac:dyDescent="0.25">
      <c r="C959" s="22"/>
      <c r="D959" s="22"/>
    </row>
    <row r="960" spans="3:4" x14ac:dyDescent="0.25">
      <c r="C960" s="22"/>
      <c r="D960" s="22"/>
    </row>
    <row r="961" spans="3:4" x14ac:dyDescent="0.25">
      <c r="C961" s="22"/>
      <c r="D961" s="22"/>
    </row>
    <row r="962" spans="3:4" x14ac:dyDescent="0.25">
      <c r="C962" s="22"/>
      <c r="D962" s="22"/>
    </row>
    <row r="963" spans="3:4" x14ac:dyDescent="0.25">
      <c r="C963" s="22"/>
      <c r="D963" s="22"/>
    </row>
    <row r="964" spans="3:4" x14ac:dyDescent="0.25">
      <c r="C964" s="22"/>
      <c r="D964" s="22"/>
    </row>
    <row r="965" spans="3:4" x14ac:dyDescent="0.25">
      <c r="C965" s="22"/>
      <c r="D965" s="22"/>
    </row>
    <row r="966" spans="3:4" x14ac:dyDescent="0.25">
      <c r="C966" s="22"/>
      <c r="D966" s="22"/>
    </row>
    <row r="967" spans="3:4" x14ac:dyDescent="0.25">
      <c r="C967" s="22"/>
      <c r="D967" s="22"/>
    </row>
    <row r="968" spans="3:4" x14ac:dyDescent="0.25">
      <c r="C968" s="22"/>
      <c r="D968" s="22"/>
    </row>
    <row r="969" spans="3:4" x14ac:dyDescent="0.25">
      <c r="C969" s="22"/>
      <c r="D969" s="22"/>
    </row>
    <row r="970" spans="3:4" x14ac:dyDescent="0.25">
      <c r="C970" s="22"/>
      <c r="D970" s="22"/>
    </row>
    <row r="971" spans="3:4" x14ac:dyDescent="0.25">
      <c r="C971" s="22"/>
      <c r="D971" s="22"/>
    </row>
    <row r="972" spans="3:4" x14ac:dyDescent="0.25">
      <c r="C972" s="22"/>
      <c r="D972" s="22"/>
    </row>
    <row r="973" spans="3:4" x14ac:dyDescent="0.25">
      <c r="C973" s="22"/>
      <c r="D973" s="22"/>
    </row>
    <row r="974" spans="3:4" x14ac:dyDescent="0.25">
      <c r="C974" s="22"/>
      <c r="D974" s="22"/>
    </row>
    <row r="975" spans="3:4" x14ac:dyDescent="0.25">
      <c r="C975" s="22"/>
      <c r="D975" s="22"/>
    </row>
    <row r="976" spans="3:4" x14ac:dyDescent="0.25">
      <c r="C976" s="22"/>
      <c r="D976" s="22"/>
    </row>
    <row r="977" spans="3:4" x14ac:dyDescent="0.25">
      <c r="C977" s="22"/>
      <c r="D977" s="22"/>
    </row>
    <row r="978" spans="3:4" x14ac:dyDescent="0.25">
      <c r="C978" s="22"/>
      <c r="D978" s="22"/>
    </row>
    <row r="979" spans="3:4" x14ac:dyDescent="0.25">
      <c r="C979" s="22"/>
      <c r="D979" s="22"/>
    </row>
    <row r="980" spans="3:4" x14ac:dyDescent="0.25">
      <c r="C980" s="22"/>
      <c r="D980" s="22"/>
    </row>
    <row r="981" spans="3:4" x14ac:dyDescent="0.25">
      <c r="C981" s="22"/>
      <c r="D981" s="22"/>
    </row>
    <row r="982" spans="3:4" x14ac:dyDescent="0.25">
      <c r="C982" s="22"/>
      <c r="D982" s="22"/>
    </row>
    <row r="983" spans="3:4" x14ac:dyDescent="0.25">
      <c r="C983" s="22"/>
      <c r="D983" s="22"/>
    </row>
    <row r="984" spans="3:4" x14ac:dyDescent="0.25">
      <c r="C984" s="22"/>
      <c r="D984" s="22"/>
    </row>
    <row r="985" spans="3:4" x14ac:dyDescent="0.25">
      <c r="C985" s="22"/>
      <c r="D985" s="22"/>
    </row>
    <row r="986" spans="3:4" x14ac:dyDescent="0.25">
      <c r="C986" s="22"/>
      <c r="D986" s="22"/>
    </row>
    <row r="987" spans="3:4" x14ac:dyDescent="0.25">
      <c r="C987" s="22"/>
      <c r="D987" s="22"/>
    </row>
    <row r="988" spans="3:4" x14ac:dyDescent="0.25">
      <c r="C988" s="22"/>
      <c r="D988" s="22"/>
    </row>
    <row r="989" spans="3:4" x14ac:dyDescent="0.25">
      <c r="C989" s="22"/>
      <c r="D989" s="22"/>
    </row>
    <row r="990" spans="3:4" x14ac:dyDescent="0.25">
      <c r="C990" s="22"/>
      <c r="D990" s="22"/>
    </row>
    <row r="991" spans="3:4" x14ac:dyDescent="0.25">
      <c r="C991" s="22"/>
      <c r="D991" s="22"/>
    </row>
    <row r="992" spans="3:4" x14ac:dyDescent="0.25">
      <c r="C992" s="22"/>
      <c r="D992" s="22"/>
    </row>
    <row r="993" spans="3:4" x14ac:dyDescent="0.25">
      <c r="C993" s="22"/>
      <c r="D993" s="22"/>
    </row>
    <row r="994" spans="3:4" x14ac:dyDescent="0.25">
      <c r="C994" s="22"/>
      <c r="D994" s="22"/>
    </row>
    <row r="995" spans="3:4" x14ac:dyDescent="0.25">
      <c r="C995" s="22"/>
      <c r="D995" s="22"/>
    </row>
    <row r="996" spans="3:4" x14ac:dyDescent="0.25">
      <c r="C996" s="22"/>
      <c r="D996" s="22"/>
    </row>
    <row r="997" spans="3:4" x14ac:dyDescent="0.25">
      <c r="C997" s="22"/>
      <c r="D997" s="22"/>
    </row>
    <row r="998" spans="3:4" x14ac:dyDescent="0.25">
      <c r="C998" s="22"/>
      <c r="D998" s="22"/>
    </row>
    <row r="999" spans="3:4" x14ac:dyDescent="0.25">
      <c r="C999" s="22"/>
      <c r="D999" s="22"/>
    </row>
    <row r="1000" spans="3:4" x14ac:dyDescent="0.25">
      <c r="C1000" s="22"/>
      <c r="D1000" s="22"/>
    </row>
  </sheetData>
  <sheetProtection formatCells="0" formatRows="0" insertRows="0" insertHyperlinks="0" deleteRows="0" sort="0" autoFilter="0" pivotTables="0"/>
  <autoFilter ref="A1:I5"/>
  <dataValidations count="4">
    <dataValidation type="list" allowBlank="1" showInputMessage="1" showErrorMessage="1" sqref="E2:E1000">
      <formula1>condition</formula1>
    </dataValidation>
    <dataValidation type="decimal" allowBlank="1" showInputMessage="1" showErrorMessage="1" sqref="C2:D1000">
      <formula1>0</formula1>
      <formula2>1000000</formula2>
    </dataValidation>
    <dataValidation type="list" allowBlank="1" showInputMessage="1" showErrorMessage="1" sqref="F2:F1000">
      <formula1>loaiBTP</formula1>
    </dataValidation>
    <dataValidation type="list" allowBlank="1" showInputMessage="1" showErrorMessage="1" sqref="G2:G1000">
      <formula1>cupsuleSize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Data'!$L$26:$L$27</xm:f>
          </x14:formula1>
          <xm:sqref>H2:H1000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6"/>
  <sheetViews>
    <sheetView zoomScaleNormal="100" workbookViewId="0">
      <selection activeCell="D22" sqref="D22"/>
    </sheetView>
  </sheetViews>
  <sheetFormatPr defaultColWidth="9.109375" defaultRowHeight="15" x14ac:dyDescent="0.25"/>
  <cols>
    <col min="1" max="1" width="9.109375" style="18"/>
    <col min="2" max="2" width="57.33203125" style="18" customWidth="1"/>
    <col min="3" max="3" width="48.109375" style="18" customWidth="1"/>
    <col min="4" max="4" width="47.6640625" style="18" customWidth="1"/>
    <col min="5" max="5" width="31.6640625" style="18" customWidth="1"/>
    <col min="6" max="6" width="55.5546875" style="18" customWidth="1"/>
    <col min="7" max="16384" width="9.109375" style="18"/>
  </cols>
  <sheetData>
    <row r="1" spans="1:7" s="20" customFormat="1" ht="47.1" customHeight="1" x14ac:dyDescent="0.25">
      <c r="A1" s="23" t="s">
        <v>1</v>
      </c>
      <c r="B1" s="23" t="s">
        <v>526</v>
      </c>
      <c r="C1" s="32" t="s">
        <v>8</v>
      </c>
      <c r="D1" s="32" t="s">
        <v>649</v>
      </c>
      <c r="E1" s="32" t="s">
        <v>516</v>
      </c>
      <c r="F1" s="23" t="s">
        <v>563</v>
      </c>
      <c r="G1" s="25"/>
    </row>
    <row r="2" spans="1:7" x14ac:dyDescent="0.25">
      <c r="A2" s="18">
        <v>1</v>
      </c>
      <c r="B2" s="18" t="s">
        <v>659</v>
      </c>
      <c r="C2" s="18" t="s">
        <v>575</v>
      </c>
      <c r="D2" s="18" t="s">
        <v>598</v>
      </c>
      <c r="E2" s="18" t="b">
        <v>1</v>
      </c>
    </row>
    <row r="3" spans="1:7" x14ac:dyDescent="0.25">
      <c r="A3" s="18">
        <v>2</v>
      </c>
      <c r="B3" s="18" t="s">
        <v>659</v>
      </c>
      <c r="C3" s="18" t="s">
        <v>635</v>
      </c>
      <c r="D3" s="18" t="s">
        <v>598</v>
      </c>
      <c r="E3" s="18" t="b">
        <v>1</v>
      </c>
    </row>
    <row r="4" spans="1:7" x14ac:dyDescent="0.25">
      <c r="A4" s="18">
        <v>3</v>
      </c>
      <c r="B4" s="18" t="s">
        <v>659</v>
      </c>
      <c r="C4" s="18" t="s">
        <v>645</v>
      </c>
      <c r="D4" s="18" t="s">
        <v>598</v>
      </c>
      <c r="E4" s="18" t="b">
        <v>1</v>
      </c>
    </row>
    <row r="5" spans="1:7" x14ac:dyDescent="0.25">
      <c r="A5" s="18">
        <v>4</v>
      </c>
      <c r="B5" s="18" t="s">
        <v>659</v>
      </c>
      <c r="C5" s="18" t="s">
        <v>644</v>
      </c>
      <c r="D5" s="18" t="s">
        <v>598</v>
      </c>
      <c r="E5" s="18" t="b">
        <v>1</v>
      </c>
    </row>
    <row r="6" spans="1:7" x14ac:dyDescent="0.25">
      <c r="A6" s="18">
        <v>5</v>
      </c>
      <c r="B6" s="18" t="s">
        <v>660</v>
      </c>
      <c r="C6" s="18" t="s">
        <v>575</v>
      </c>
      <c r="D6" s="18" t="s">
        <v>598</v>
      </c>
      <c r="E6" s="18" t="b">
        <v>1</v>
      </c>
    </row>
    <row r="7" spans="1:7" x14ac:dyDescent="0.25">
      <c r="A7" s="18">
        <v>6</v>
      </c>
      <c r="B7" s="18" t="s">
        <v>661</v>
      </c>
      <c r="C7" s="18" t="s">
        <v>575</v>
      </c>
      <c r="D7" s="18" t="s">
        <v>598</v>
      </c>
      <c r="E7" s="18" t="b">
        <v>1</v>
      </c>
    </row>
    <row r="8" spans="1:7" x14ac:dyDescent="0.25">
      <c r="A8" s="18">
        <v>7</v>
      </c>
      <c r="B8" s="18" t="s">
        <v>662</v>
      </c>
      <c r="C8" s="18" t="s">
        <v>575</v>
      </c>
      <c r="D8" s="18" t="s">
        <v>598</v>
      </c>
      <c r="E8" s="18" t="b">
        <v>1</v>
      </c>
    </row>
    <row r="9" spans="1:7" x14ac:dyDescent="0.25">
      <c r="A9" s="18">
        <v>8</v>
      </c>
      <c r="B9" s="18" t="s">
        <v>663</v>
      </c>
      <c r="C9" s="18" t="s">
        <v>575</v>
      </c>
      <c r="D9" s="18" t="s">
        <v>648</v>
      </c>
      <c r="E9" s="18" t="b">
        <v>1</v>
      </c>
    </row>
    <row r="10" spans="1:7" x14ac:dyDescent="0.25">
      <c r="A10" s="18">
        <v>9</v>
      </c>
      <c r="B10" s="18" t="s">
        <v>663</v>
      </c>
      <c r="C10" s="18" t="s">
        <v>635</v>
      </c>
      <c r="D10" s="18" t="s">
        <v>648</v>
      </c>
      <c r="E10" s="18" t="b">
        <v>1</v>
      </c>
    </row>
    <row r="11" spans="1:7" x14ac:dyDescent="0.25">
      <c r="A11" s="18">
        <v>10</v>
      </c>
      <c r="B11" s="18" t="s">
        <v>663</v>
      </c>
      <c r="C11" s="18" t="s">
        <v>645</v>
      </c>
      <c r="D11" s="18" t="s">
        <v>648</v>
      </c>
      <c r="E11" s="18" t="b">
        <v>1</v>
      </c>
    </row>
    <row r="12" spans="1:7" x14ac:dyDescent="0.25">
      <c r="A12" s="18">
        <v>11</v>
      </c>
      <c r="B12" s="18" t="s">
        <v>663</v>
      </c>
      <c r="C12" s="18" t="s">
        <v>644</v>
      </c>
      <c r="D12" s="18" t="s">
        <v>648</v>
      </c>
      <c r="E12" s="18" t="b">
        <v>1</v>
      </c>
    </row>
    <row r="13" spans="1:7" x14ac:dyDescent="0.25">
      <c r="A13" s="18">
        <v>12</v>
      </c>
      <c r="B13" s="18" t="s">
        <v>663</v>
      </c>
      <c r="C13" s="18" t="s">
        <v>575</v>
      </c>
      <c r="D13" s="18" t="s">
        <v>647</v>
      </c>
      <c r="E13" s="18" t="b">
        <v>1</v>
      </c>
    </row>
    <row r="14" spans="1:7" x14ac:dyDescent="0.25">
      <c r="A14" s="18">
        <v>13</v>
      </c>
      <c r="B14" s="18" t="s">
        <v>663</v>
      </c>
      <c r="C14" s="18" t="s">
        <v>635</v>
      </c>
      <c r="D14" s="18" t="s">
        <v>647</v>
      </c>
      <c r="E14" s="18" t="b">
        <v>1</v>
      </c>
    </row>
    <row r="15" spans="1:7" x14ac:dyDescent="0.25">
      <c r="A15" s="18">
        <v>14</v>
      </c>
      <c r="B15" s="18" t="s">
        <v>663</v>
      </c>
      <c r="C15" s="18" t="s">
        <v>645</v>
      </c>
      <c r="D15" s="18" t="s">
        <v>647</v>
      </c>
      <c r="E15" s="18" t="b">
        <v>1</v>
      </c>
    </row>
    <row r="16" spans="1:7" x14ac:dyDescent="0.25">
      <c r="A16" s="18">
        <v>15</v>
      </c>
      <c r="B16" s="18" t="s">
        <v>663</v>
      </c>
      <c r="C16" s="18" t="s">
        <v>644</v>
      </c>
      <c r="D16" s="18" t="s">
        <v>647</v>
      </c>
      <c r="E16" s="18" t="b">
        <v>1</v>
      </c>
    </row>
  </sheetData>
  <sheetProtection formatCells="0" formatRows="0" insertRows="0" insertHyperlinks="0" deleteRows="0" sort="0" autoFilter="0" pivotTables="0"/>
  <autoFilter ref="A1:F1"/>
  <dataValidations count="1">
    <dataValidation type="list" allowBlank="1" showInputMessage="1" showErrorMessage="1" sqref="C2:C1000">
      <formula1>condition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'Master Data'!$L$26:$L$27</xm:f>
          </x14:formula1>
          <xm:sqref>E2:E1000</xm:sqref>
        </x14:dataValidation>
        <x14:dataValidation type="list" allowBlank="1" showInputMessage="1" showErrorMessage="1">
          <x14:formula1>
            <xm:f>'Master Data'!$Q$12:$Q$14</xm:f>
          </x14:formula1>
          <xm:sqref>D2:D1000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D37" sqref="D37"/>
    </sheetView>
  </sheetViews>
  <sheetFormatPr defaultColWidth="9.109375" defaultRowHeight="15" x14ac:dyDescent="0.25"/>
  <cols>
    <col min="1" max="1" width="7.88671875" style="18" customWidth="1"/>
    <col min="2" max="2" width="48.33203125" style="18" customWidth="1"/>
    <col min="3" max="3" width="31.33203125" style="18" customWidth="1"/>
    <col min="4" max="4" width="25.5546875" style="18" customWidth="1"/>
    <col min="5" max="5" width="37.33203125" style="18" customWidth="1"/>
    <col min="6" max="6" width="34.88671875" style="18" customWidth="1"/>
    <col min="7" max="7" width="63.33203125" style="18" customWidth="1"/>
    <col min="8" max="8" width="9.33203125" style="18" customWidth="1"/>
    <col min="9" max="9" width="12" style="18" customWidth="1"/>
    <col min="10" max="16384" width="9.109375" style="18"/>
  </cols>
  <sheetData>
    <row r="1" spans="1:7" s="20" customFormat="1" ht="46.5" customHeight="1" x14ac:dyDescent="0.25">
      <c r="A1" s="19" t="s">
        <v>1</v>
      </c>
      <c r="B1" s="19" t="s">
        <v>525</v>
      </c>
      <c r="C1" s="19" t="s">
        <v>667</v>
      </c>
      <c r="D1" s="19" t="s">
        <v>668</v>
      </c>
      <c r="E1" s="32" t="s">
        <v>8</v>
      </c>
      <c r="F1" s="32" t="s">
        <v>516</v>
      </c>
      <c r="G1" s="19" t="s">
        <v>563</v>
      </c>
    </row>
    <row r="2" spans="1:7" x14ac:dyDescent="0.25">
      <c r="A2" s="18">
        <v>1</v>
      </c>
      <c r="B2" s="18" t="s">
        <v>676</v>
      </c>
      <c r="C2" s="18">
        <v>40000</v>
      </c>
      <c r="D2" s="18">
        <v>800000</v>
      </c>
      <c r="E2" s="18" t="s">
        <v>646</v>
      </c>
      <c r="F2" s="18" t="b">
        <v>0</v>
      </c>
    </row>
    <row r="3" spans="1:7" x14ac:dyDescent="0.25">
      <c r="A3" s="18">
        <v>2</v>
      </c>
      <c r="B3" s="18" t="s">
        <v>677</v>
      </c>
      <c r="C3" s="18">
        <v>40000</v>
      </c>
      <c r="D3" s="18">
        <v>90000</v>
      </c>
      <c r="E3" s="18" t="s">
        <v>646</v>
      </c>
      <c r="F3" s="18" t="b">
        <v>0</v>
      </c>
    </row>
  </sheetData>
  <sheetProtection formatCells="0" formatRows="0" insertRows="0" insertHyperlinks="0" deleteRows="0" sort="0" autoFilter="0" pivotTables="0"/>
  <autoFilter ref="A1:G1"/>
  <dataValidations count="1">
    <dataValidation type="list" allowBlank="1" showInputMessage="1" showErrorMessage="1" sqref="E2:E1000">
      <formula1>condition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Data'!$L$26:$L$27</xm:f>
          </x14:formula1>
          <xm:sqref>F2:F1000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3"/>
  <sheetViews>
    <sheetView workbookViewId="0">
      <selection activeCell="E17" sqref="E17"/>
    </sheetView>
  </sheetViews>
  <sheetFormatPr defaultColWidth="9.109375" defaultRowHeight="15" x14ac:dyDescent="0.25"/>
  <cols>
    <col min="1" max="1" width="7.88671875" style="18" customWidth="1"/>
    <col min="2" max="2" width="46.109375" style="18" customWidth="1"/>
    <col min="3" max="3" width="35.5546875" style="18" customWidth="1"/>
    <col min="4" max="4" width="23.44140625" style="18" customWidth="1"/>
    <col min="5" max="5" width="31" style="18" customWidth="1"/>
    <col min="6" max="6" width="34.88671875" style="18" customWidth="1"/>
    <col min="7" max="7" width="72.33203125" style="18" customWidth="1"/>
    <col min="8" max="8" width="9.109375" style="18"/>
    <col min="9" max="9" width="12" style="18" customWidth="1"/>
    <col min="10" max="16384" width="9.109375" style="18"/>
  </cols>
  <sheetData>
    <row r="1" spans="1:9" s="20" customFormat="1" ht="46.5" customHeight="1" x14ac:dyDescent="0.25">
      <c r="A1" s="19" t="s">
        <v>1</v>
      </c>
      <c r="B1" s="19" t="s">
        <v>525</v>
      </c>
      <c r="C1" s="19" t="s">
        <v>669</v>
      </c>
      <c r="D1" s="19" t="s">
        <v>670</v>
      </c>
      <c r="E1" s="32" t="s">
        <v>8</v>
      </c>
      <c r="F1" s="32" t="s">
        <v>516</v>
      </c>
      <c r="G1" s="19" t="s">
        <v>563</v>
      </c>
    </row>
    <row r="2" spans="1:9" x14ac:dyDescent="0.25">
      <c r="A2" s="18">
        <v>1</v>
      </c>
      <c r="B2" s="18" t="s">
        <v>678</v>
      </c>
      <c r="C2" s="18">
        <v>15000</v>
      </c>
      <c r="D2" s="18">
        <v>300000</v>
      </c>
      <c r="E2" s="18" t="s">
        <v>646</v>
      </c>
      <c r="F2" s="18" t="b">
        <v>0</v>
      </c>
      <c r="I2" s="48"/>
    </row>
    <row r="3" spans="1:9" x14ac:dyDescent="0.25">
      <c r="A3" s="18">
        <v>2</v>
      </c>
      <c r="B3" s="18" t="s">
        <v>679</v>
      </c>
      <c r="C3" s="18">
        <v>15000</v>
      </c>
      <c r="D3" s="18">
        <v>300000</v>
      </c>
      <c r="E3" s="18" t="s">
        <v>646</v>
      </c>
      <c r="F3" s="18" t="b">
        <v>0</v>
      </c>
    </row>
  </sheetData>
  <autoFilter ref="A1:G3"/>
  <dataValidations count="1">
    <dataValidation type="list" allowBlank="1" showInputMessage="1" showErrorMessage="1" sqref="E2:E1000">
      <formula1>condition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Data'!$L$26:$L$27</xm:f>
          </x14:formula1>
          <xm:sqref>F2:F1000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4"/>
  <sheetViews>
    <sheetView workbookViewId="0">
      <selection activeCell="F11" sqref="F11"/>
    </sheetView>
  </sheetViews>
  <sheetFormatPr defaultColWidth="9.109375" defaultRowHeight="15" x14ac:dyDescent="0.25"/>
  <cols>
    <col min="1" max="1" width="9.109375" style="18"/>
    <col min="2" max="2" width="72.33203125" style="18" customWidth="1"/>
    <col min="3" max="3" width="53.6640625" style="18" customWidth="1"/>
    <col min="4" max="4" width="47.6640625" style="18" customWidth="1"/>
    <col min="5" max="5" width="67.33203125" style="18" customWidth="1"/>
    <col min="6" max="16384" width="9.109375" style="18"/>
  </cols>
  <sheetData>
    <row r="1" spans="1:6" s="20" customFormat="1" ht="47.1" customHeight="1" x14ac:dyDescent="0.25">
      <c r="A1" s="23" t="s">
        <v>1</v>
      </c>
      <c r="B1" s="23" t="s">
        <v>526</v>
      </c>
      <c r="C1" s="23" t="s">
        <v>643</v>
      </c>
      <c r="D1" s="32" t="s">
        <v>516</v>
      </c>
      <c r="E1" s="23" t="s">
        <v>563</v>
      </c>
      <c r="F1" s="25"/>
    </row>
    <row r="2" spans="1:6" x14ac:dyDescent="0.25">
      <c r="A2" s="18">
        <v>1</v>
      </c>
      <c r="B2" s="18" t="s">
        <v>680</v>
      </c>
      <c r="C2" s="18" t="s">
        <v>681</v>
      </c>
      <c r="D2" s="18" t="b">
        <v>0</v>
      </c>
    </row>
    <row r="3" spans="1:6" x14ac:dyDescent="0.25">
      <c r="A3" s="18">
        <v>2</v>
      </c>
      <c r="B3" s="18" t="s">
        <v>680</v>
      </c>
      <c r="C3" s="18" t="s">
        <v>682</v>
      </c>
      <c r="D3" s="18" t="b">
        <v>0</v>
      </c>
    </row>
    <row r="4" spans="1:6" x14ac:dyDescent="0.25">
      <c r="A4" s="18">
        <v>3</v>
      </c>
      <c r="B4" s="18" t="s">
        <v>680</v>
      </c>
      <c r="C4" s="18" t="s">
        <v>683</v>
      </c>
      <c r="D4" s="18" t="b">
        <v>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Data'!$L$26:$L$27</xm:f>
          </x14:formula1>
          <xm:sqref>D2:D1000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E5" sqref="E5"/>
    </sheetView>
  </sheetViews>
  <sheetFormatPr defaultColWidth="9.109375" defaultRowHeight="15" x14ac:dyDescent="0.25"/>
  <cols>
    <col min="1" max="1" width="9.109375" style="18"/>
    <col min="2" max="2" width="72.33203125" style="18" customWidth="1"/>
    <col min="3" max="3" width="52.88671875" style="18" customWidth="1"/>
    <col min="4" max="4" width="47.6640625" style="18" customWidth="1"/>
    <col min="5" max="5" width="67.33203125" style="18" customWidth="1"/>
    <col min="6" max="16384" width="9.109375" style="18"/>
  </cols>
  <sheetData>
    <row r="1" spans="1:6" s="20" customFormat="1" ht="47.1" customHeight="1" x14ac:dyDescent="0.25">
      <c r="A1" s="23" t="s">
        <v>1</v>
      </c>
      <c r="B1" s="23" t="s">
        <v>526</v>
      </c>
      <c r="C1" s="32" t="s">
        <v>642</v>
      </c>
      <c r="D1" s="32" t="s">
        <v>516</v>
      </c>
      <c r="E1" s="23" t="s">
        <v>563</v>
      </c>
      <c r="F1" s="25"/>
    </row>
    <row r="2" spans="1:6" x14ac:dyDescent="0.25">
      <c r="A2" s="18">
        <v>1</v>
      </c>
      <c r="B2" s="18" t="s">
        <v>672</v>
      </c>
      <c r="C2" s="18" t="s">
        <v>508</v>
      </c>
      <c r="D2" s="18" t="b">
        <v>0</v>
      </c>
    </row>
    <row r="3" spans="1:6" x14ac:dyDescent="0.25">
      <c r="A3" s="18">
        <v>2</v>
      </c>
      <c r="B3" s="18" t="s">
        <v>672</v>
      </c>
      <c r="C3" s="18" t="s">
        <v>509</v>
      </c>
      <c r="D3" s="18" t="b">
        <v>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'Master Data'!$L$26:$L$27</xm:f>
          </x14:formula1>
          <xm:sqref>D2:D1000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selection activeCell="D7" sqref="D7"/>
    </sheetView>
  </sheetViews>
  <sheetFormatPr defaultRowHeight="14.4" x14ac:dyDescent="0.3"/>
  <cols>
    <col min="2" max="2" width="16.5546875" hidden="1" customWidth="1"/>
    <col min="3" max="3" width="23.44140625" customWidth="1"/>
    <col min="4" max="4" width="25.33203125" customWidth="1"/>
    <col min="5" max="5" width="19.33203125" customWidth="1"/>
  </cols>
  <sheetData>
    <row r="1" spans="1:4" ht="24.75" customHeight="1" x14ac:dyDescent="0.3">
      <c r="A1" s="49" t="s">
        <v>1</v>
      </c>
      <c r="B1" s="49" t="s">
        <v>638</v>
      </c>
      <c r="C1" s="49" t="s">
        <v>637</v>
      </c>
      <c r="D1" s="49" t="s">
        <v>636</v>
      </c>
    </row>
    <row r="2" spans="1:4" ht="16.8" x14ac:dyDescent="0.4">
      <c r="C2" s="51"/>
      <c r="D2" s="51"/>
    </row>
    <row r="3" spans="1:4" ht="15" x14ac:dyDescent="0.35">
      <c r="C3" s="50"/>
      <c r="D3" s="50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"/>
  <sheetViews>
    <sheetView workbookViewId="0">
      <selection activeCell="A13" sqref="A11:A13"/>
    </sheetView>
  </sheetViews>
  <sheetFormatPr defaultRowHeight="14.4" x14ac:dyDescent="0.3"/>
  <cols>
    <col min="4" max="4" width="10.33203125" customWidth="1"/>
    <col min="5" max="5" width="11.5546875" customWidth="1"/>
    <col min="7" max="7" width="14.6640625" customWidth="1"/>
    <col min="8" max="8" width="10.6640625" customWidth="1"/>
  </cols>
  <sheetData>
    <row r="1" spans="1:8" x14ac:dyDescent="0.3">
      <c r="A1" s="21" t="s">
        <v>534</v>
      </c>
      <c r="B1" t="s">
        <v>535</v>
      </c>
      <c r="C1" t="s">
        <v>536</v>
      </c>
      <c r="D1" t="s">
        <v>537</v>
      </c>
      <c r="E1" t="s">
        <v>538</v>
      </c>
      <c r="F1" t="s">
        <v>540</v>
      </c>
      <c r="G1" t="s">
        <v>516</v>
      </c>
    </row>
    <row r="2" spans="1:8" x14ac:dyDescent="0.3">
      <c r="A2" s="21"/>
    </row>
    <row r="3" spans="1:8" x14ac:dyDescent="0.3">
      <c r="A3" s="21" t="s">
        <v>539</v>
      </c>
      <c r="B3" t="s">
        <v>541</v>
      </c>
      <c r="C3" t="s">
        <v>542</v>
      </c>
      <c r="D3" t="s">
        <v>543</v>
      </c>
      <c r="E3" t="s">
        <v>544</v>
      </c>
      <c r="F3" t="s">
        <v>516</v>
      </c>
    </row>
    <row r="4" spans="1:8" x14ac:dyDescent="0.3">
      <c r="A4" s="21"/>
    </row>
    <row r="5" spans="1:8" x14ac:dyDescent="0.3">
      <c r="A5" s="21" t="s">
        <v>545</v>
      </c>
      <c r="B5" t="s">
        <v>547</v>
      </c>
      <c r="C5" t="s">
        <v>546</v>
      </c>
      <c r="D5" t="s">
        <v>548</v>
      </c>
      <c r="E5" t="s">
        <v>543</v>
      </c>
      <c r="F5" t="s">
        <v>516</v>
      </c>
    </row>
    <row r="6" spans="1:8" x14ac:dyDescent="0.3">
      <c r="A6" s="21"/>
    </row>
    <row r="7" spans="1:8" x14ac:dyDescent="0.3">
      <c r="A7" s="21" t="s">
        <v>549</v>
      </c>
      <c r="B7" t="s">
        <v>543</v>
      </c>
      <c r="C7" t="s">
        <v>516</v>
      </c>
    </row>
    <row r="8" spans="1:8" x14ac:dyDescent="0.3">
      <c r="A8" s="21"/>
    </row>
    <row r="9" spans="1:8" x14ac:dyDescent="0.3">
      <c r="A9" s="21" t="s">
        <v>550</v>
      </c>
      <c r="B9" t="s">
        <v>543</v>
      </c>
      <c r="C9" t="s">
        <v>516</v>
      </c>
      <c r="D9" t="s">
        <v>552</v>
      </c>
      <c r="E9" t="s">
        <v>555</v>
      </c>
      <c r="F9" t="s">
        <v>553</v>
      </c>
      <c r="G9" t="s">
        <v>554</v>
      </c>
      <c r="H9" t="s">
        <v>556</v>
      </c>
    </row>
    <row r="10" spans="1:8" x14ac:dyDescent="0.3">
      <c r="A10" s="21"/>
    </row>
    <row r="11" spans="1:8" x14ac:dyDescent="0.3">
      <c r="A11" s="21" t="s">
        <v>551</v>
      </c>
      <c r="B11" t="s">
        <v>543</v>
      </c>
      <c r="C11" t="s">
        <v>516</v>
      </c>
      <c r="D11" t="s">
        <v>552</v>
      </c>
    </row>
    <row r="12" spans="1:8" x14ac:dyDescent="0.3">
      <c r="A12" s="21"/>
    </row>
    <row r="13" spans="1:8" x14ac:dyDescent="0.3">
      <c r="A13" s="21" t="s">
        <v>557</v>
      </c>
      <c r="B13" t="s">
        <v>543</v>
      </c>
      <c r="C13" t="s">
        <v>516</v>
      </c>
      <c r="D13" t="s">
        <v>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</vt:i4>
      </vt:variant>
    </vt:vector>
  </HeadingPairs>
  <TitlesOfParts>
    <vt:vector size="25" baseType="lpstr">
      <vt:lpstr>Master Data</vt:lpstr>
      <vt:lpstr>Selection Equiment</vt:lpstr>
      <vt:lpstr>DB_Blistering</vt:lpstr>
      <vt:lpstr>DB_Granulation</vt:lpstr>
      <vt:lpstr>DB_Compression</vt:lpstr>
      <vt:lpstr>DB_Capsule_Filling</vt:lpstr>
      <vt:lpstr>DB_Coating</vt:lpstr>
      <vt:lpstr>DB_Strip_Parking</vt:lpstr>
      <vt:lpstr>DB_Sachet_Filling</vt:lpstr>
      <vt:lpstr>DB_Counting</vt:lpstr>
      <vt:lpstr>DB_Tube_Packing</vt:lpstr>
      <vt:lpstr>User</vt:lpstr>
      <vt:lpstr>BB</vt:lpstr>
      <vt:lpstr>CDSX</vt:lpstr>
      <vt:lpstr>condition</vt:lpstr>
      <vt:lpstr>cupsuleSize</vt:lpstr>
      <vt:lpstr>EU</vt:lpstr>
      <vt:lpstr>hinhThucVien</vt:lpstr>
      <vt:lpstr>loaiBTP</vt:lpstr>
      <vt:lpstr>loaiChayCoi</vt:lpstr>
      <vt:lpstr>Market</vt:lpstr>
      <vt:lpstr>PP_PC</vt:lpstr>
      <vt:lpstr>'Selection Equiment'!Print_Area</vt:lpstr>
      <vt:lpstr>PX</vt:lpstr>
      <vt:lpstr>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Hữu Phong</dc:creator>
  <cp:lastModifiedBy>Lê Thái Tâm</cp:lastModifiedBy>
  <cp:lastPrinted>2026-01-16T03:05:26Z</cp:lastPrinted>
  <dcterms:created xsi:type="dcterms:W3CDTF">2015-06-05T18:17:20Z</dcterms:created>
  <dcterms:modified xsi:type="dcterms:W3CDTF">2026-04-17T04:24:30Z</dcterms:modified>
</cp:coreProperties>
</file>